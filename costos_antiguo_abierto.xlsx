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 activeTab="1"/>
  </bookViews>
  <sheets>
    <sheet name="Hot Dog" sheetId="3" r:id="rId1"/>
    <sheet name="Empa peq" sheetId="4" r:id="rId2"/>
    <sheet name="Empa gran" sheetId="7" r:id="rId3"/>
    <sheet name="Pedidos" sheetId="5" r:id="rId4"/>
    <sheet name="Compra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<sst xmlns="http://schemas.openxmlformats.org/spreadsheetml/2006/main" count="169" uniqueCount="81">
  <si>
    <t>COSTOS DE ENRROLLADO DE HOT DOG</t>
  </si>
  <si>
    <t>Cantidad x Kg</t>
  </si>
  <si>
    <t>Precio U</t>
  </si>
  <si>
    <t>Total</t>
  </si>
  <si>
    <t>Total de Empanadas producidas</t>
  </si>
  <si>
    <t xml:space="preserve">Harina </t>
  </si>
  <si>
    <t>Manteca</t>
  </si>
  <si>
    <t>Hot Dog</t>
  </si>
  <si>
    <t>COSTO UNITARIO x ENRROLLADO</t>
  </si>
  <si>
    <t>Azucar</t>
  </si>
  <si>
    <t>Sal</t>
  </si>
  <si>
    <t>Huevos x und</t>
  </si>
  <si>
    <t>Horneado</t>
  </si>
  <si>
    <t>Transporte</t>
  </si>
  <si>
    <t>Unidades</t>
  </si>
  <si>
    <t>COSTO VENTA X UNIDAD</t>
  </si>
  <si>
    <t>UTILIDAD X UND EMPANADA</t>
  </si>
  <si>
    <t>Precio de venta</t>
  </si>
  <si>
    <t>Nº</t>
  </si>
  <si>
    <t>CLIENTES</t>
  </si>
  <si>
    <t>DOCENAS</t>
  </si>
  <si>
    <t>Cantidad x Und</t>
  </si>
  <si>
    <t>COSTO DE VENTA X UNIDAD</t>
  </si>
  <si>
    <t>UTILIDAD X CLIENTE</t>
  </si>
  <si>
    <t>Otros</t>
  </si>
  <si>
    <t>TOTAL ENRROLLADO X UND</t>
  </si>
  <si>
    <t>PRODUCCION x DOCENAS</t>
  </si>
  <si>
    <t>COSTOS DE EMPANADAS</t>
  </si>
  <si>
    <t>PEDIDO</t>
  </si>
  <si>
    <t xml:space="preserve">                          </t>
  </si>
  <si>
    <t>Total de Empanadas</t>
  </si>
  <si>
    <t>Costo Unitario x Empanada</t>
  </si>
  <si>
    <t xml:space="preserve">Cebolla </t>
  </si>
  <si>
    <t>Carne</t>
  </si>
  <si>
    <t>Pollo</t>
  </si>
  <si>
    <t>Condimentos</t>
  </si>
  <si>
    <t>Personal</t>
  </si>
  <si>
    <t>Precio de venta 22</t>
  </si>
  <si>
    <t>Nª</t>
  </si>
  <si>
    <t>AP K4</t>
  </si>
  <si>
    <t xml:space="preserve">                                                                     </t>
  </si>
  <si>
    <t>PEDIDOS TOTAL EMPA X UND</t>
  </si>
  <si>
    <t>TOTAL EMP. PRODUCIDAS</t>
  </si>
  <si>
    <t>CANTIDAD EXEDENTE DE EMP</t>
  </si>
  <si>
    <t xml:space="preserve">DIFERENCIA DEL COSTO </t>
  </si>
  <si>
    <t>CANTIDAD DE LATAS</t>
  </si>
  <si>
    <t xml:space="preserve">Las Madres </t>
  </si>
  <si>
    <t>La Merced</t>
  </si>
  <si>
    <t>Sil</t>
  </si>
  <si>
    <t>Columbia</t>
  </si>
  <si>
    <t>Inmaculada</t>
  </si>
  <si>
    <t>Numero de latas</t>
  </si>
  <si>
    <t>x unidad</t>
  </si>
  <si>
    <t>EMPANADAS PEQUEÑAS</t>
  </si>
  <si>
    <t>EMPANADAS GRANDES</t>
  </si>
  <si>
    <t>HOT DOG</t>
  </si>
  <si>
    <t>COBRAR</t>
  </si>
  <si>
    <t>Pautet K1</t>
  </si>
  <si>
    <t>Alas Peruanas</t>
  </si>
  <si>
    <t>AP K1</t>
  </si>
  <si>
    <t>AP K6</t>
  </si>
  <si>
    <t>AP K7</t>
  </si>
  <si>
    <t>Sistema 2000</t>
  </si>
  <si>
    <t>Corazon de Jesus</t>
  </si>
  <si>
    <t>Mandamiento</t>
  </si>
  <si>
    <t>Las Madres</t>
  </si>
  <si>
    <t>SIL</t>
  </si>
  <si>
    <t>Jardín 86</t>
  </si>
  <si>
    <t>Agencia S/M</t>
  </si>
  <si>
    <t>Fátima k1</t>
  </si>
  <si>
    <t>Fátima k2</t>
  </si>
  <si>
    <t>Carmen Sandoval</t>
  </si>
  <si>
    <t>Leon</t>
  </si>
  <si>
    <t>B. Leguia</t>
  </si>
  <si>
    <t>Echenique</t>
  </si>
  <si>
    <t>San Martin</t>
  </si>
  <si>
    <t>Tras Cementerio</t>
  </si>
  <si>
    <t>Kuri</t>
  </si>
  <si>
    <t>Ugel</t>
  </si>
  <si>
    <t>CANTIDAD TOTAL</t>
  </si>
  <si>
    <t>PRECIO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</si>
</sst>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1"/>
      <color theme="1"/>
      <name val="Cambria"/>
      <charset val="134"/>
      <scheme val="maj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30" applyNumberFormat="0" applyAlignment="0" applyProtection="0">
      <alignment vertical="center"/>
    </xf>
    <xf numFmtId="0" fontId="17" fillId="13" borderId="31" applyNumberFormat="0" applyAlignment="0" applyProtection="0">
      <alignment vertical="center"/>
    </xf>
    <xf numFmtId="0" fontId="18" fillId="13" borderId="30" applyNumberFormat="0" applyAlignment="0" applyProtection="0">
      <alignment vertical="center"/>
    </xf>
    <xf numFmtId="0" fontId="19" fillId="14" borderId="32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122">
    <xf numFmtId="0" fontId="0" fillId="0" borderId="0" xfId="0"/>
    <xf numFmtId="2" fontId="0" fillId="2" borderId="1" xfId="0" applyNumberFormat="1" applyFill="1" applyBorder="1" applyAlignment="1" applyProtection="1">
      <alignment horizontal="center" vertical="center" wrapText="1"/>
    </xf>
    <xf numFmtId="2" fontId="0" fillId="2" borderId="2" xfId="0" applyNumberFormat="1" applyFill="1" applyBorder="1" applyAlignment="1" applyProtection="1">
      <alignment horizontal="center" vertical="center" wrapText="1"/>
    </xf>
    <xf numFmtId="0" fontId="0" fillId="2" borderId="3" xfId="0" applyFill="1" applyBorder="1"/>
    <xf numFmtId="2" fontId="0" fillId="2" borderId="3" xfId="0" applyNumberFormat="1" applyFill="1" applyBorder="1" applyProtection="1"/>
    <xf numFmtId="2" fontId="0" fillId="0" borderId="0" xfId="0" applyNumberFormat="1"/>
    <xf numFmtId="0" fontId="0" fillId="3" borderId="0" xfId="0" applyFill="1" applyAlignment="1">
      <alignment horizontal="center"/>
    </xf>
    <xf numFmtId="0" fontId="1" fillId="4" borderId="4" xfId="0" applyFont="1" applyFill="1" applyBorder="1" applyAlignment="1">
      <alignment horizontal="center" vertical="distributed"/>
    </xf>
    <xf numFmtId="0" fontId="0" fillId="0" borderId="0" xfId="0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distributed"/>
    </xf>
    <xf numFmtId="0" fontId="1" fillId="4" borderId="7" xfId="0" applyFont="1" applyFill="1" applyBorder="1"/>
    <xf numFmtId="0" fontId="0" fillId="5" borderId="4" xfId="0" applyFill="1" applyBorder="1" applyAlignment="1">
      <alignment horizontal="center"/>
    </xf>
    <xf numFmtId="0" fontId="2" fillId="6" borderId="3" xfId="0" applyFont="1" applyFill="1" applyBorder="1"/>
    <xf numFmtId="0" fontId="0" fillId="6" borderId="3" xfId="0" applyFill="1" applyBorder="1" applyProtection="1">
      <protection locked="0"/>
    </xf>
    <xf numFmtId="2" fontId="1" fillId="6" borderId="3" xfId="0" applyNumberFormat="1" applyFont="1" applyFill="1" applyBorder="1"/>
    <xf numFmtId="0" fontId="0" fillId="7" borderId="0" xfId="0" applyFill="1" applyAlignment="1">
      <alignment horizontal="center"/>
    </xf>
    <xf numFmtId="0" fontId="2" fillId="7" borderId="1" xfId="0" applyFont="1" applyFill="1" applyBorder="1"/>
    <xf numFmtId="0" fontId="0" fillId="7" borderId="3" xfId="0" applyFill="1" applyBorder="1" applyProtection="1">
      <protection locked="0"/>
    </xf>
    <xf numFmtId="2" fontId="1" fillId="7" borderId="3" xfId="0" applyNumberFormat="1" applyFont="1" applyFill="1" applyBorder="1"/>
    <xf numFmtId="0" fontId="0" fillId="6" borderId="3" xfId="0" applyFill="1" applyBorder="1"/>
    <xf numFmtId="0" fontId="0" fillId="7" borderId="3" xfId="0" applyFill="1" applyBorder="1"/>
    <xf numFmtId="0" fontId="2" fillId="7" borderId="3" xfId="0" applyFont="1" applyFill="1" applyBorder="1"/>
    <xf numFmtId="0" fontId="0" fillId="8" borderId="2" xfId="0" applyFill="1" applyBorder="1"/>
    <xf numFmtId="2" fontId="3" fillId="4" borderId="0" xfId="0" applyNumberFormat="1" applyFont="1" applyFill="1"/>
    <xf numFmtId="0" fontId="4" fillId="4" borderId="0" xfId="0" applyFont="1" applyFill="1" applyAlignment="1">
      <alignment horizontal="center"/>
    </xf>
    <xf numFmtId="0" fontId="0" fillId="9" borderId="0" xfId="0" applyFill="1"/>
    <xf numFmtId="0" fontId="1" fillId="10" borderId="4" xfId="0" applyFont="1" applyFill="1" applyBorder="1"/>
    <xf numFmtId="0" fontId="1" fillId="10" borderId="5" xfId="0" applyFon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2" fontId="0" fillId="2" borderId="3" xfId="0" applyNumberFormat="1" applyFill="1" applyBorder="1"/>
    <xf numFmtId="0" fontId="1" fillId="10" borderId="9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178" fontId="0" fillId="2" borderId="11" xfId="0" applyNumberFormat="1" applyFill="1" applyBorder="1" applyAlignment="1">
      <alignment horizontal="center" vertical="center"/>
    </xf>
    <xf numFmtId="178" fontId="0" fillId="2" borderId="12" xfId="0" applyNumberFormat="1" applyFill="1" applyBorder="1" applyAlignment="1">
      <alignment horizontal="center" vertical="center"/>
    </xf>
    <xf numFmtId="2" fontId="5" fillId="2" borderId="3" xfId="0" applyNumberFormat="1" applyFont="1" applyFill="1" applyBorder="1" applyProtection="1">
      <protection locked="0"/>
    </xf>
    <xf numFmtId="2" fontId="0" fillId="10" borderId="13" xfId="0" applyNumberForma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58" fontId="0" fillId="0" borderId="0" xfId="0" applyNumberFormat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3" xfId="0" applyFont="1" applyFill="1" applyBorder="1"/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3" fillId="4" borderId="13" xfId="0" applyFont="1" applyFill="1" applyBorder="1"/>
    <xf numFmtId="0" fontId="0" fillId="8" borderId="0" xfId="0" applyFill="1" applyAlignment="1">
      <alignment horizontal="center"/>
    </xf>
    <xf numFmtId="2" fontId="0" fillId="8" borderId="2" xfId="0" applyNumberFormat="1" applyFill="1" applyBorder="1"/>
    <xf numFmtId="2" fontId="0" fillId="8" borderId="2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7" borderId="3" xfId="0" applyNumberFormat="1" applyFill="1" applyBorder="1"/>
    <xf numFmtId="0" fontId="0" fillId="8" borderId="3" xfId="0" applyFill="1" applyBorder="1"/>
    <xf numFmtId="2" fontId="0" fillId="8" borderId="3" xfId="0" applyNumberFormat="1" applyFill="1" applyBorder="1" applyAlignment="1">
      <alignment horizontal="center"/>
    </xf>
    <xf numFmtId="2" fontId="0" fillId="8" borderId="3" xfId="0" applyNumberFormat="1" applyFill="1" applyBorder="1"/>
    <xf numFmtId="0" fontId="0" fillId="8" borderId="0" xfId="0" applyFill="1" applyBorder="1"/>
    <xf numFmtId="2" fontId="2" fillId="4" borderId="0" xfId="0" applyNumberFormat="1" applyFont="1" applyFill="1"/>
    <xf numFmtId="2" fontId="0" fillId="2" borderId="3" xfId="0" applyNumberFormat="1" applyFill="1" applyBorder="1" applyProtection="1">
      <protection locked="0"/>
    </xf>
    <xf numFmtId="0" fontId="0" fillId="2" borderId="3" xfId="0" applyFill="1" applyBorder="1" applyProtection="1">
      <protection locked="0"/>
    </xf>
    <xf numFmtId="2" fontId="0" fillId="7" borderId="2" xfId="0" applyNumberFormat="1" applyFill="1" applyBorder="1"/>
    <xf numFmtId="2" fontId="0" fillId="7" borderId="1" xfId="0" applyNumberFormat="1" applyFill="1" applyBorder="1"/>
    <xf numFmtId="2" fontId="0" fillId="8" borderId="1" xfId="0" applyNumberFormat="1" applyFill="1" applyBorder="1"/>
    <xf numFmtId="0" fontId="0" fillId="8" borderId="0" xfId="0" applyFill="1"/>
    <xf numFmtId="2" fontId="3" fillId="4" borderId="13" xfId="0" applyNumberFormat="1" applyFont="1" applyFill="1" applyBorder="1"/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2" fontId="0" fillId="10" borderId="9" xfId="0" applyNumberFormat="1" applyFill="1" applyBorder="1" applyAlignment="1">
      <alignment horizontal="center"/>
    </xf>
    <xf numFmtId="2" fontId="0" fillId="10" borderId="10" xfId="0" applyNumberFormat="1" applyFill="1" applyBorder="1" applyAlignment="1">
      <alignment horizontal="center"/>
    </xf>
    <xf numFmtId="0" fontId="0" fillId="0" borderId="0" xfId="0" applyProtection="1"/>
    <xf numFmtId="0" fontId="0" fillId="10" borderId="4" xfId="0" applyFill="1" applyBorder="1" applyProtection="1"/>
    <xf numFmtId="0" fontId="1" fillId="10" borderId="5" xfId="0" applyFont="1" applyFill="1" applyBorder="1"/>
    <xf numFmtId="0" fontId="1" fillId="10" borderId="8" xfId="0" applyFont="1" applyFill="1" applyBorder="1"/>
    <xf numFmtId="0" fontId="0" fillId="2" borderId="3" xfId="0" applyFill="1" applyBorder="1" applyProtection="1"/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" xfId="0" applyNumberFormat="1" applyFill="1" applyBorder="1" applyProtection="1"/>
    <xf numFmtId="2" fontId="0" fillId="10" borderId="13" xfId="0" applyNumberFormat="1" applyFill="1" applyBorder="1" applyProtection="1"/>
    <xf numFmtId="0" fontId="0" fillId="0" borderId="0" xfId="0" applyAlignment="1"/>
    <xf numFmtId="0" fontId="0" fillId="10" borderId="4" xfId="0" applyFill="1" applyBorder="1"/>
    <xf numFmtId="0" fontId="1" fillId="10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9" borderId="0" xfId="0" applyFont="1" applyFill="1" applyBorder="1" applyAlignment="1"/>
    <xf numFmtId="0" fontId="0" fillId="9" borderId="0" xfId="0" applyFill="1" applyBorder="1" applyAlignment="1"/>
    <xf numFmtId="179" fontId="0" fillId="2" borderId="3" xfId="0" applyNumberFormat="1" applyFill="1" applyBorder="1"/>
    <xf numFmtId="0" fontId="0" fillId="9" borderId="0" xfId="0" applyFill="1" applyBorder="1"/>
    <xf numFmtId="2" fontId="0" fillId="2" borderId="1" xfId="0" applyNumberFormat="1" applyFill="1" applyBorder="1"/>
    <xf numFmtId="0" fontId="0" fillId="10" borderId="13" xfId="0" applyFill="1" applyBorder="1"/>
    <xf numFmtId="0" fontId="3" fillId="0" borderId="0" xfId="0" applyFont="1" applyAlignment="1"/>
    <xf numFmtId="178" fontId="0" fillId="0" borderId="0" xfId="0" applyNumberFormat="1" applyAlignment="1"/>
    <xf numFmtId="0" fontId="0" fillId="0" borderId="4" xfId="0" applyBorder="1" applyAlignment="1">
      <alignment horizontal="center"/>
    </xf>
    <xf numFmtId="0" fontId="6" fillId="4" borderId="11" xfId="0" applyFont="1" applyFill="1" applyBorder="1" applyAlignment="1"/>
    <xf numFmtId="0" fontId="6" fillId="4" borderId="12" xfId="0" applyFont="1" applyFill="1" applyBorder="1" applyAlignment="1"/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8" borderId="20" xfId="0" applyNumberFormat="1" applyFill="1" applyBorder="1" applyAlignment="1">
      <alignment horizontal="center"/>
    </xf>
    <xf numFmtId="2" fontId="0" fillId="8" borderId="21" xfId="0" applyNumberFormat="1" applyFill="1" applyBorder="1" applyAlignment="1">
      <alignment horizontal="center"/>
    </xf>
    <xf numFmtId="2" fontId="0" fillId="8" borderId="22" xfId="0" applyNumberForma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0" fontId="0" fillId="7" borderId="1" xfId="0" applyFill="1" applyBorder="1"/>
    <xf numFmtId="2" fontId="0" fillId="7" borderId="22" xfId="0" applyNumberFormat="1" applyFill="1" applyBorder="1" applyAlignment="1">
      <alignment horizontal="center"/>
    </xf>
    <xf numFmtId="2" fontId="0" fillId="7" borderId="2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2" fontId="3" fillId="4" borderId="25" xfId="0" applyNumberFormat="1" applyFont="1" applyFill="1" applyBorder="1" applyAlignment="1">
      <alignment horizontal="center"/>
    </xf>
    <xf numFmtId="2" fontId="3" fillId="4" borderId="26" xfId="0" applyNumberFormat="1" applyFont="1" applyFill="1" applyBorder="1" applyAlignment="1">
      <alignment horizontal="center"/>
    </xf>
    <xf numFmtId="1" fontId="0" fillId="10" borderId="9" xfId="0" applyNumberFormat="1" applyFill="1" applyBorder="1" applyAlignment="1">
      <alignment horizontal="center"/>
    </xf>
    <xf numFmtId="1" fontId="0" fillId="10" borderId="10" xfId="0" applyNumberForma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FF00"/>
      <color rgb="00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7"/>
  <sheetViews>
    <sheetView workbookViewId="0">
      <selection activeCell="F17" sqref="F17:G17"/>
    </sheetView>
  </sheetViews>
  <sheetFormatPr defaultColWidth="11" defaultRowHeight="14.4"/>
  <cols>
    <col min="1" max="1" width="6.13888888888889" customWidth="1"/>
    <col min="2" max="2" width="17.287037037037" customWidth="1"/>
    <col min="3" max="3" width="10.712962962963" customWidth="1"/>
    <col min="4" max="4" width="11.1388888888889" customWidth="1"/>
    <col min="5" max="5" width="12.1388888888889" customWidth="1"/>
    <col min="6" max="6" width="8.28703703703704" customWidth="1"/>
    <col min="7" max="7" width="11.8518518518519" customWidth="1"/>
    <col min="8" max="8" width="17.712962962963" customWidth="1"/>
    <col min="9" max="9" width="7.42592592592593" customWidth="1"/>
    <col min="11" max="11" width="6.42592592592593" customWidth="1"/>
  </cols>
  <sheetData>
    <row r="2" spans="2:10">
      <c r="E2" s="91" t="s">
        <v>0</v>
      </c>
      <c r="F2" s="91"/>
      <c r="G2" s="91"/>
    </row>
    <row r="3" spans="2:10">
      <c r="E3" s="91"/>
      <c r="F3" s="91"/>
      <c r="G3" s="91"/>
    </row>
    <row r="4" ht="15.15"/>
    <row r="5" ht="15.15" spans="2:10">
      <c r="C5" s="92" t="s">
        <v>1</v>
      </c>
      <c r="D5" s="92" t="s">
        <v>2</v>
      </c>
      <c r="E5" s="92" t="s">
        <v>3</v>
      </c>
      <c r="G5" s="93" t="s">
        <v>4</v>
      </c>
      <c r="H5" s="94"/>
      <c r="I5" s="95"/>
    </row>
    <row r="6" ht="15.15" spans="2:10">
      <c r="B6" s="3" t="s">
        <v>5</v>
      </c>
      <c r="C6" s="30">
        <f>(G6/50)</f>
        <v>0</v>
      </c>
      <c r="D6" s="3">
        <v>1.8</v>
      </c>
      <c r="E6" s="30">
        <f t="shared" ref="E6:E13" si="0">(C6*D6)</f>
        <v>0</v>
      </c>
      <c r="G6" s="72">
        <f>(D57)</f>
        <v>0</v>
      </c>
      <c r="H6" s="73"/>
      <c r="I6" s="96"/>
    </row>
    <row r="7" ht="15.15" spans="2:10">
      <c r="B7" s="3" t="s">
        <v>6</v>
      </c>
      <c r="C7" s="30">
        <f>(C6*0.4)</f>
        <v>0</v>
      </c>
      <c r="D7" s="3">
        <v>4.8</v>
      </c>
      <c r="E7" s="30">
        <f t="shared" si="0"/>
        <v>0</v>
      </c>
    </row>
    <row r="8" ht="15.15" spans="2:10">
      <c r="B8" s="3" t="s">
        <v>7</v>
      </c>
      <c r="C8" s="30">
        <f>(C6*1)</f>
        <v>0</v>
      </c>
      <c r="D8" s="97">
        <v>4</v>
      </c>
      <c r="E8" s="30">
        <f t="shared" si="0"/>
        <v>0</v>
      </c>
      <c r="G8" s="70" t="s">
        <v>8</v>
      </c>
      <c r="H8" s="71"/>
      <c r="I8" s="96"/>
    </row>
    <row r="9" ht="15.15" spans="2:10">
      <c r="B9" s="3" t="s">
        <v>9</v>
      </c>
      <c r="C9" s="30">
        <f>(C6*0.25)</f>
        <v>0</v>
      </c>
      <c r="D9" s="3">
        <v>1.9</v>
      </c>
      <c r="E9" s="30">
        <f t="shared" si="0"/>
        <v>0</v>
      </c>
      <c r="G9" s="72" t="e">
        <f>(E14/G6)</f>
        <v>#DIV/0!</v>
      </c>
      <c r="H9" s="73"/>
      <c r="I9" s="98"/>
    </row>
    <row r="10" spans="2:10">
      <c r="B10" s="3" t="s">
        <v>10</v>
      </c>
      <c r="C10" s="30">
        <f>(C6*0.02)</f>
        <v>0</v>
      </c>
      <c r="D10" s="3">
        <v>0.5</v>
      </c>
      <c r="E10" s="30">
        <f t="shared" si="0"/>
        <v>0</v>
      </c>
    </row>
    <row r="11" customFormat="1" spans="2:10">
      <c r="B11" s="3" t="s">
        <v>11</v>
      </c>
      <c r="C11" s="30">
        <v>1</v>
      </c>
      <c r="D11" s="3">
        <v>0.3</v>
      </c>
      <c r="E11" s="30">
        <f t="shared" si="0"/>
        <v>0.3</v>
      </c>
    </row>
    <row r="12" spans="2:10">
      <c r="B12" s="3" t="s">
        <v>12</v>
      </c>
      <c r="C12" s="30">
        <v>1</v>
      </c>
      <c r="D12" s="3">
        <v>2</v>
      </c>
      <c r="E12" s="30">
        <f t="shared" si="0"/>
        <v>2</v>
      </c>
    </row>
    <row r="13" ht="15.15" spans="2:10">
      <c r="B13" s="3" t="s">
        <v>13</v>
      </c>
      <c r="C13" s="30">
        <v>0</v>
      </c>
      <c r="D13" s="3">
        <v>6</v>
      </c>
      <c r="E13" s="99">
        <f t="shared" si="0"/>
        <v>0</v>
      </c>
    </row>
    <row r="14" ht="15.15" spans="2:10">
      <c r="E14" s="100">
        <f>SUM(E6:E13)</f>
        <v>2.3</v>
      </c>
    </row>
    <row r="16" spans="2:10">
      <c r="E16" s="41" t="s">
        <v>14</v>
      </c>
      <c r="F16" s="42" t="s">
        <v>15</v>
      </c>
      <c r="G16" s="42"/>
      <c r="H16" s="43" t="s">
        <v>16</v>
      </c>
      <c r="I16" s="43"/>
      <c r="J16" s="101"/>
    </row>
    <row r="17" customFormat="1" spans="1:11">
      <c r="B17" t="s">
        <v>17</v>
      </c>
      <c r="D17" s="5">
        <v>4.5</v>
      </c>
      <c r="E17" s="41">
        <v>12</v>
      </c>
      <c r="F17" s="44">
        <f>(D17/E17)</f>
        <v>0.375</v>
      </c>
      <c r="G17" s="44"/>
      <c r="H17" s="44" t="e">
        <f>(F17-G9)</f>
        <v>#DIV/0!</v>
      </c>
      <c r="I17" s="44"/>
      <c r="J17" s="101"/>
    </row>
    <row r="18" customFormat="1" spans="1:11">
      <c r="B18" t="s">
        <v>17</v>
      </c>
      <c r="D18" s="5">
        <v>9</v>
      </c>
      <c r="E18" s="41">
        <v>12</v>
      </c>
      <c r="F18" s="44">
        <f>(D18/E18)</f>
        <v>0.75</v>
      </c>
      <c r="G18" s="44"/>
      <c r="H18" s="44" t="e">
        <f>(F18-G9)</f>
        <v>#DIV/0!</v>
      </c>
      <c r="I18" s="44"/>
      <c r="J18" s="101"/>
    </row>
    <row r="19" spans="1:11">
      <c r="B19" t="s">
        <v>17</v>
      </c>
      <c r="D19" s="5">
        <v>8</v>
      </c>
      <c r="E19">
        <v>14</v>
      </c>
      <c r="F19" s="44">
        <f>(D19/E19)</f>
        <v>0.571428571428571</v>
      </c>
      <c r="G19" s="44"/>
      <c r="H19" s="44" t="e">
        <f>(F19-G9)</f>
        <v>#DIV/0!</v>
      </c>
      <c r="I19" s="44"/>
      <c r="J19" s="102"/>
    </row>
    <row r="20" ht="15.15"/>
    <row r="21" ht="15.15" spans="1:11">
      <c r="A21" s="103" t="s">
        <v>18</v>
      </c>
      <c r="B21" s="46" t="s">
        <v>19</v>
      </c>
      <c r="C21" s="46" t="s">
        <v>20</v>
      </c>
      <c r="D21" s="47" t="s">
        <v>21</v>
      </c>
      <c r="E21" s="47" t="s">
        <v>17</v>
      </c>
      <c r="F21" s="48" t="s">
        <v>22</v>
      </c>
      <c r="G21" s="49"/>
      <c r="H21" s="104" t="s">
        <v>16</v>
      </c>
      <c r="I21" s="105"/>
      <c r="J21" s="106" t="s">
        <v>23</v>
      </c>
      <c r="K21" s="107"/>
    </row>
    <row r="22" spans="1:11">
      <c r="A22" s="108">
        <v>1</v>
      </c>
      <c r="B22" s="20" t="str">
        <f>Pedidos!B6</f>
        <v>Pautet K1</v>
      </c>
      <c r="C22" s="23">
        <f>(Pedidos!D6)</f>
        <v>0</v>
      </c>
      <c r="D22" s="23">
        <f>(C22*E17)</f>
        <v>0</v>
      </c>
      <c r="E22" s="54">
        <f>(C22*D17)</f>
        <v>0</v>
      </c>
      <c r="F22" s="109">
        <f t="shared" ref="F22:F27" si="1">IF(D22=0,0,E22/D22)</f>
        <v>0</v>
      </c>
      <c r="G22" s="110"/>
      <c r="H22" s="109" t="e">
        <f>(F22-G9)</f>
        <v>#DIV/0!</v>
      </c>
      <c r="I22" s="110"/>
      <c r="J22" s="111" t="e">
        <f>(D22*H22)</f>
        <v>#DIV/0!</v>
      </c>
      <c r="K22" s="112"/>
    </row>
    <row r="23" spans="1:11">
      <c r="A23" s="108">
        <v>2</v>
      </c>
      <c r="B23" s="113" t="str">
        <f>Pedidos!B7</f>
        <v>Alas Peruanas</v>
      </c>
      <c r="C23" s="23">
        <f>(Pedidos!D7)</f>
        <v>0</v>
      </c>
      <c r="D23" s="21">
        <f t="shared" ref="D23:D31" si="2">(C23*12)</f>
        <v>0</v>
      </c>
      <c r="E23" s="65">
        <f>(C23*D19)</f>
        <v>0</v>
      </c>
      <c r="F23" s="114">
        <f t="shared" si="1"/>
        <v>0</v>
      </c>
      <c r="G23" s="115"/>
      <c r="H23" s="114" t="e">
        <f>(F23-G9)</f>
        <v>#DIV/0!</v>
      </c>
      <c r="I23" s="115"/>
      <c r="J23" s="114" t="e">
        <f>(D23*H23)</f>
        <v>#DIV/0!</v>
      </c>
      <c r="K23" s="115"/>
    </row>
    <row r="24" spans="1:11">
      <c r="A24" s="108">
        <v>3</v>
      </c>
      <c r="B24" s="20" t="str">
        <f>Pedidos!B8</f>
        <v>AP K1</v>
      </c>
      <c r="C24" s="23">
        <f>(Pedidos!D8)</f>
        <v>0</v>
      </c>
      <c r="D24" s="58">
        <f t="shared" si="2"/>
        <v>0</v>
      </c>
      <c r="E24" s="54">
        <f>(C24*D19)</f>
        <v>0</v>
      </c>
      <c r="F24" s="111">
        <f t="shared" si="1"/>
        <v>0</v>
      </c>
      <c r="G24" s="112"/>
      <c r="H24" s="111" t="e">
        <f>(F24-G9)</f>
        <v>#DIV/0!</v>
      </c>
      <c r="I24" s="112"/>
      <c r="J24" s="111" t="e">
        <f t="shared" ref="J24:J26" si="3">(D24*H24)</f>
        <v>#DIV/0!</v>
      </c>
      <c r="K24" s="112"/>
    </row>
    <row r="25" spans="1:11">
      <c r="A25" s="116">
        <v>4</v>
      </c>
      <c r="B25" s="21" t="str">
        <f>Pedidos!B9</f>
        <v>AP K4</v>
      </c>
      <c r="C25" s="23">
        <f>(Pedidos!D9)</f>
        <v>0</v>
      </c>
      <c r="D25" s="21">
        <f t="shared" si="2"/>
        <v>0</v>
      </c>
      <c r="E25" s="65">
        <f>(C25*D19)</f>
        <v>0</v>
      </c>
      <c r="F25" s="114">
        <f t="shared" si="1"/>
        <v>0</v>
      </c>
      <c r="G25" s="115"/>
      <c r="H25" s="114" t="e">
        <f>(F25-G9)</f>
        <v>#DIV/0!</v>
      </c>
      <c r="I25" s="115"/>
      <c r="J25" s="114" t="e">
        <f t="shared" si="3"/>
        <v>#DIV/0!</v>
      </c>
      <c r="K25" s="115"/>
    </row>
    <row r="26" spans="1:11">
      <c r="A26" s="116">
        <v>5</v>
      </c>
      <c r="B26" s="20" t="str">
        <f>Pedidos!B10</f>
        <v>AP K6</v>
      </c>
      <c r="C26" s="23">
        <f>(Pedidos!D10)</f>
        <v>0</v>
      </c>
      <c r="D26" s="58">
        <f t="shared" si="2"/>
        <v>0</v>
      </c>
      <c r="E26" s="54">
        <f>(C26*D19)</f>
        <v>0</v>
      </c>
      <c r="F26" s="111">
        <f t="shared" si="1"/>
        <v>0</v>
      </c>
      <c r="G26" s="112"/>
      <c r="H26" s="111" t="e">
        <f>(F26-G9)</f>
        <v>#DIV/0!</v>
      </c>
      <c r="I26" s="112"/>
      <c r="J26" s="111" t="e">
        <f t="shared" si="3"/>
        <v>#DIV/0!</v>
      </c>
      <c r="K26" s="112"/>
    </row>
    <row r="27" spans="1:11">
      <c r="A27" s="116">
        <v>6</v>
      </c>
      <c r="B27" s="21" t="str">
        <f>Pedidos!B11</f>
        <v>AP K7</v>
      </c>
      <c r="C27" s="23">
        <f>(Pedidos!D11)</f>
        <v>0</v>
      </c>
      <c r="D27" s="21">
        <f t="shared" si="2"/>
        <v>0</v>
      </c>
      <c r="E27" s="65">
        <f>(C27*D19)</f>
        <v>0</v>
      </c>
      <c r="F27" s="114">
        <f t="shared" si="1"/>
        <v>0</v>
      </c>
      <c r="G27" s="115"/>
      <c r="H27" s="114" t="e">
        <f>(F27-G9)</f>
        <v>#DIV/0!</v>
      </c>
      <c r="I27" s="115"/>
      <c r="J27" s="114" t="e">
        <f t="shared" ref="J27:J38" si="4">(D27*H27)</f>
        <v>#DIV/0!</v>
      </c>
      <c r="K27" s="115"/>
    </row>
    <row r="28" spans="1:11">
      <c r="A28" s="116">
        <v>7</v>
      </c>
      <c r="B28" s="20" t="str">
        <f>Pedidos!B12</f>
        <v>Sistema 2000</v>
      </c>
      <c r="C28" s="23">
        <f>(Pedidos!D12)</f>
        <v>0</v>
      </c>
      <c r="D28" s="58">
        <f t="shared" si="2"/>
        <v>0</v>
      </c>
      <c r="E28" s="54">
        <f>(C28*D19)</f>
        <v>0</v>
      </c>
      <c r="F28" s="114">
        <f t="shared" ref="F28:F38" si="5">IF(D28=0,0,E28/D28)</f>
        <v>0</v>
      </c>
      <c r="G28" s="115"/>
      <c r="H28" s="111" t="e">
        <f>(F28-G9)</f>
        <v>#DIV/0!</v>
      </c>
      <c r="I28" s="112"/>
      <c r="J28" s="111" t="e">
        <f t="shared" si="4"/>
        <v>#DIV/0!</v>
      </c>
      <c r="K28" s="112"/>
    </row>
    <row r="29" spans="1:11">
      <c r="A29" s="116">
        <v>8</v>
      </c>
      <c r="B29" s="21" t="str">
        <f>Pedidos!B13</f>
        <v>Corazon de Jesus</v>
      </c>
      <c r="C29" s="23">
        <f>(Pedidos!D13)</f>
        <v>0</v>
      </c>
      <c r="D29" s="21">
        <f t="shared" si="2"/>
        <v>0</v>
      </c>
      <c r="E29" s="65">
        <f>(C29*D19)</f>
        <v>0</v>
      </c>
      <c r="F29" s="114">
        <f t="shared" si="5"/>
        <v>0</v>
      </c>
      <c r="G29" s="115"/>
      <c r="H29" s="114" t="e">
        <f>(F29-G9)</f>
        <v>#DIV/0!</v>
      </c>
      <c r="I29" s="115"/>
      <c r="J29" s="114" t="e">
        <f t="shared" si="4"/>
        <v>#DIV/0!</v>
      </c>
      <c r="K29" s="115"/>
    </row>
    <row r="30" spans="1:11">
      <c r="A30" s="116">
        <v>9</v>
      </c>
      <c r="B30" s="20" t="str">
        <f>Pedidos!B14</f>
        <v>Mandamiento</v>
      </c>
      <c r="C30" s="23">
        <f>(Pedidos!D14)</f>
        <v>0</v>
      </c>
      <c r="D30" s="58">
        <f t="shared" si="2"/>
        <v>0</v>
      </c>
      <c r="E30" s="54">
        <f>(C30*D19)</f>
        <v>0</v>
      </c>
      <c r="F30" s="114">
        <f t="shared" si="5"/>
        <v>0</v>
      </c>
      <c r="G30" s="115"/>
      <c r="H30" s="111" t="e">
        <f>(F30-G9)</f>
        <v>#DIV/0!</v>
      </c>
      <c r="I30" s="112"/>
      <c r="J30" s="111" t="e">
        <f t="shared" si="4"/>
        <v>#DIV/0!</v>
      </c>
      <c r="K30" s="112"/>
    </row>
    <row r="31" spans="1:11">
      <c r="A31" s="116">
        <v>10</v>
      </c>
      <c r="B31" s="21" t="str">
        <f>Pedidos!B15</f>
        <v>Las Madres</v>
      </c>
      <c r="C31" s="23">
        <f>(Pedidos!D15)</f>
        <v>0</v>
      </c>
      <c r="D31" s="21">
        <f t="shared" si="2"/>
        <v>0</v>
      </c>
      <c r="E31" s="65">
        <f>(C31*D19)</f>
        <v>0</v>
      </c>
      <c r="F31" s="114">
        <f t="shared" si="5"/>
        <v>0</v>
      </c>
      <c r="G31" s="115"/>
      <c r="H31" s="111" t="e">
        <f>(F31-G9)</f>
        <v>#DIV/0!</v>
      </c>
      <c r="I31" s="112"/>
      <c r="J31" s="114" t="e">
        <f t="shared" si="4"/>
        <v>#DIV/0!</v>
      </c>
      <c r="K31" s="115"/>
    </row>
    <row r="32" spans="1:11">
      <c r="A32" s="116">
        <v>11</v>
      </c>
      <c r="B32" s="20" t="str">
        <f>Pedidos!B16</f>
        <v>La Merced</v>
      </c>
      <c r="C32" s="23">
        <f>(Pedidos!D16)</f>
        <v>0</v>
      </c>
      <c r="D32" s="58">
        <f>(C32*E19)</f>
        <v>0</v>
      </c>
      <c r="E32" s="54">
        <f>(C32*D19)</f>
        <v>0</v>
      </c>
      <c r="F32" s="114">
        <f t="shared" si="5"/>
        <v>0</v>
      </c>
      <c r="G32" s="115"/>
      <c r="H32" s="111" t="e">
        <f>(F32-G9)</f>
        <v>#DIV/0!</v>
      </c>
      <c r="I32" s="112"/>
      <c r="J32" s="111" t="e">
        <f t="shared" si="4"/>
        <v>#DIV/0!</v>
      </c>
      <c r="K32" s="112"/>
    </row>
    <row r="33" spans="1:11">
      <c r="A33" s="116">
        <v>12</v>
      </c>
      <c r="B33" s="21" t="str">
        <f>Pedidos!B17</f>
        <v>SIL</v>
      </c>
      <c r="C33" s="23">
        <f>(Pedidos!D17)</f>
        <v>0</v>
      </c>
      <c r="D33" s="21">
        <f t="shared" ref="D33:D54" si="6">(C33*12)</f>
        <v>0</v>
      </c>
      <c r="E33" s="65">
        <f>(C33*D19)</f>
        <v>0</v>
      </c>
      <c r="F33" s="114">
        <f t="shared" si="5"/>
        <v>0</v>
      </c>
      <c r="G33" s="115"/>
      <c r="H33" s="111" t="e">
        <f>(F33-G9)</f>
        <v>#DIV/0!</v>
      </c>
      <c r="I33" s="112"/>
      <c r="J33" s="114" t="e">
        <f t="shared" si="4"/>
        <v>#DIV/0!</v>
      </c>
      <c r="K33" s="115"/>
    </row>
    <row r="34" spans="1:11">
      <c r="A34" s="116">
        <v>13</v>
      </c>
      <c r="B34" s="20" t="str">
        <f>Pedidos!B18</f>
        <v>Columbia</v>
      </c>
      <c r="C34" s="23">
        <f>(Pedidos!D18)</f>
        <v>0</v>
      </c>
      <c r="D34" s="58">
        <f t="shared" si="6"/>
        <v>0</v>
      </c>
      <c r="E34" s="54">
        <f>(C34*D19)</f>
        <v>0</v>
      </c>
      <c r="F34" s="114">
        <f t="shared" si="5"/>
        <v>0</v>
      </c>
      <c r="G34" s="115"/>
      <c r="H34" s="111" t="e">
        <f>(F34-G9)</f>
        <v>#DIV/0!</v>
      </c>
      <c r="I34" s="112"/>
      <c r="J34" s="111" t="e">
        <f t="shared" si="4"/>
        <v>#DIV/0!</v>
      </c>
      <c r="K34" s="112"/>
    </row>
    <row r="35" customFormat="1" spans="1:11">
      <c r="A35" s="116"/>
      <c r="B35" s="20" t="str">
        <f>Pedidos!B19</f>
        <v>Inmaculada</v>
      </c>
      <c r="C35" s="23">
        <f>Pedidos!D19</f>
        <v>0</v>
      </c>
      <c r="D35" s="58">
        <f>C35*E18</f>
        <v>0</v>
      </c>
      <c r="E35" s="54">
        <f>C35*D18</f>
        <v>0</v>
      </c>
      <c r="F35" s="114">
        <f t="shared" ref="F35" si="7">IF(D35=0,0,E35/D35)</f>
        <v>0</v>
      </c>
      <c r="G35" s="115"/>
      <c r="H35" s="111" t="e">
        <f>(F35-G9)</f>
        <v>#DIV/0!</v>
      </c>
      <c r="I35" s="112"/>
      <c r="J35" s="111" t="e">
        <f t="shared" ref="J35" si="8">(D35*H35)</f>
        <v>#DIV/0!</v>
      </c>
      <c r="K35" s="112"/>
    </row>
    <row r="36" spans="1:11">
      <c r="A36" s="116">
        <v>14</v>
      </c>
      <c r="B36" s="21" t="str">
        <f>Pedidos!B20</f>
        <v>Jardín 86</v>
      </c>
      <c r="C36" s="23">
        <f>(Pedidos!D20)</f>
        <v>0</v>
      </c>
      <c r="D36" s="21">
        <f t="shared" si="6"/>
        <v>0</v>
      </c>
      <c r="E36" s="65">
        <f>(C36*D19)</f>
        <v>0</v>
      </c>
      <c r="F36" s="114">
        <f t="shared" si="5"/>
        <v>0</v>
      </c>
      <c r="G36" s="115"/>
      <c r="H36" s="111" t="e">
        <f>(F36-G9)</f>
        <v>#DIV/0!</v>
      </c>
      <c r="I36" s="112"/>
      <c r="J36" s="114" t="e">
        <f t="shared" si="4"/>
        <v>#DIV/0!</v>
      </c>
      <c r="K36" s="115"/>
    </row>
    <row r="37" customFormat="1" spans="1:11">
      <c r="A37" s="116">
        <v>15</v>
      </c>
      <c r="B37" s="20" t="str">
        <f>Pedidos!B21</f>
        <v>Agencia S/M</v>
      </c>
      <c r="C37" s="23">
        <f>(Pedidos!D21)</f>
        <v>0</v>
      </c>
      <c r="D37" s="21">
        <f t="shared" si="6"/>
        <v>0</v>
      </c>
      <c r="E37" s="65">
        <f>(C37*D19)</f>
        <v>0</v>
      </c>
      <c r="F37" s="114">
        <f t="shared" ref="F37" si="9">IF(D37=0,0,E37/D37)</f>
        <v>0</v>
      </c>
      <c r="G37" s="115"/>
      <c r="H37" s="111" t="e">
        <f>(F37-G9)</f>
        <v>#DIV/0!</v>
      </c>
      <c r="I37" s="112"/>
      <c r="J37" s="114" t="e">
        <f t="shared" ref="J37" si="10">(D37*H37)</f>
        <v>#DIV/0!</v>
      </c>
      <c r="K37" s="115"/>
    </row>
    <row r="38" spans="1:11">
      <c r="A38" s="116">
        <v>16</v>
      </c>
      <c r="B38" s="21" t="str">
        <f>Pedidos!B22</f>
        <v>Fátima k1</v>
      </c>
      <c r="C38" s="23">
        <f>(Pedidos!D22)</f>
        <v>0</v>
      </c>
      <c r="D38" s="21">
        <f t="shared" si="6"/>
        <v>0</v>
      </c>
      <c r="E38" s="54">
        <f>(C38*D19)</f>
        <v>0</v>
      </c>
      <c r="F38" s="114">
        <f t="shared" si="5"/>
        <v>0</v>
      </c>
      <c r="G38" s="115"/>
      <c r="H38" s="111" t="e">
        <f>(F38-G9)</f>
        <v>#DIV/0!</v>
      </c>
      <c r="I38" s="112"/>
      <c r="J38" s="111" t="e">
        <f t="shared" si="4"/>
        <v>#DIV/0!</v>
      </c>
      <c r="K38" s="112"/>
    </row>
    <row r="39" spans="1:11">
      <c r="A39" s="117">
        <v>17</v>
      </c>
      <c r="B39" s="20" t="str">
        <f>Pedidos!B23</f>
        <v>Fátima k2</v>
      </c>
      <c r="C39" s="23">
        <f>(Pedidos!D23)</f>
        <v>0</v>
      </c>
      <c r="D39" s="21">
        <f t="shared" si="6"/>
        <v>0</v>
      </c>
      <c r="E39" s="54">
        <f>(C39*D19)</f>
        <v>0</v>
      </c>
      <c r="F39" s="114">
        <f t="shared" ref="F39:F50" si="11">IF(D39=0,0,E39/D39)</f>
        <v>0</v>
      </c>
      <c r="G39" s="115"/>
      <c r="H39" s="111" t="e">
        <f>(F39-G9)</f>
        <v>#DIV/0!</v>
      </c>
      <c r="I39" s="112"/>
      <c r="J39" s="111" t="e">
        <f t="shared" ref="J39:J54" si="12">(D39*H39)</f>
        <v>#DIV/0!</v>
      </c>
      <c r="K39" s="112"/>
    </row>
    <row r="40" spans="1:11">
      <c r="A40" s="117">
        <v>18</v>
      </c>
      <c r="B40" s="21" t="str">
        <f>Pedidos!B24</f>
        <v>Carmen Sandoval</v>
      </c>
      <c r="C40" s="23">
        <f>(Pedidos!D24)</f>
        <v>0</v>
      </c>
      <c r="D40" s="21">
        <f t="shared" si="6"/>
        <v>0</v>
      </c>
      <c r="E40" s="54">
        <f>(C40*D19)</f>
        <v>0</v>
      </c>
      <c r="F40" s="114">
        <f t="shared" si="11"/>
        <v>0</v>
      </c>
      <c r="G40" s="115"/>
      <c r="H40" s="111" t="e">
        <f>(F40-G9)</f>
        <v>#DIV/0!</v>
      </c>
      <c r="I40" s="112"/>
      <c r="J40" s="111" t="e">
        <f t="shared" si="12"/>
        <v>#DIV/0!</v>
      </c>
      <c r="K40" s="112"/>
    </row>
    <row r="41" spans="1:11">
      <c r="A41" s="117">
        <v>19</v>
      </c>
      <c r="B41" s="20" t="str">
        <f>Pedidos!B25</f>
        <v>Leon</v>
      </c>
      <c r="C41" s="23">
        <f>(Pedidos!D25)</f>
        <v>0</v>
      </c>
      <c r="D41" s="21">
        <f t="shared" si="6"/>
        <v>0</v>
      </c>
      <c r="E41" s="54">
        <f>(C41*D19)</f>
        <v>0</v>
      </c>
      <c r="F41" s="114">
        <f t="shared" si="11"/>
        <v>0</v>
      </c>
      <c r="G41" s="115"/>
      <c r="H41" s="111" t="e">
        <f>(F41-G9)</f>
        <v>#DIV/0!</v>
      </c>
      <c r="I41" s="112"/>
      <c r="J41" s="111" t="e">
        <f t="shared" si="12"/>
        <v>#DIV/0!</v>
      </c>
      <c r="K41" s="112"/>
    </row>
    <row r="42" spans="1:11">
      <c r="A42" s="117">
        <v>20</v>
      </c>
      <c r="B42" s="21" t="str">
        <f>Pedidos!B26</f>
        <v>B. Leguia</v>
      </c>
      <c r="C42" s="23">
        <f>(Pedidos!D26)</f>
        <v>0</v>
      </c>
      <c r="D42" s="21">
        <f t="shared" si="6"/>
        <v>0</v>
      </c>
      <c r="E42" s="54">
        <f>(C42*D19)</f>
        <v>0</v>
      </c>
      <c r="F42" s="114">
        <f t="shared" si="11"/>
        <v>0</v>
      </c>
      <c r="G42" s="115"/>
      <c r="H42" s="111" t="e">
        <f>(F42-G9)</f>
        <v>#DIV/0!</v>
      </c>
      <c r="I42" s="112"/>
      <c r="J42" s="111" t="e">
        <f t="shared" si="12"/>
        <v>#DIV/0!</v>
      </c>
      <c r="K42" s="112"/>
    </row>
    <row r="43" spans="1:11">
      <c r="A43" s="117">
        <v>21</v>
      </c>
      <c r="B43" s="20" t="str">
        <f>Pedidos!B27</f>
        <v>Echenique</v>
      </c>
      <c r="C43" s="23">
        <f>(Pedidos!D27)</f>
        <v>0</v>
      </c>
      <c r="D43" s="21">
        <f t="shared" si="6"/>
        <v>0</v>
      </c>
      <c r="E43" s="54">
        <f>(C43*D19)</f>
        <v>0</v>
      </c>
      <c r="F43" s="114">
        <f t="shared" si="11"/>
        <v>0</v>
      </c>
      <c r="G43" s="115"/>
      <c r="H43" s="111" t="e">
        <f>(F43-G9)</f>
        <v>#DIV/0!</v>
      </c>
      <c r="I43" s="112"/>
      <c r="J43" s="111" t="e">
        <f t="shared" si="12"/>
        <v>#DIV/0!</v>
      </c>
      <c r="K43" s="112"/>
    </row>
    <row r="44" spans="1:11">
      <c r="A44" s="117">
        <v>22</v>
      </c>
      <c r="B44" s="21" t="str">
        <f>Pedidos!B28</f>
        <v>San Martin</v>
      </c>
      <c r="C44" s="23">
        <f>(Pedidos!D28)</f>
        <v>0</v>
      </c>
      <c r="D44" s="21">
        <f t="shared" si="6"/>
        <v>0</v>
      </c>
      <c r="E44" s="54">
        <f t="shared" ref="E44" si="13">(C44*D20)</f>
        <v>0</v>
      </c>
      <c r="F44" s="114">
        <f t="shared" si="11"/>
        <v>0</v>
      </c>
      <c r="G44" s="115"/>
      <c r="H44" s="111" t="e">
        <f>(F44-G9)</f>
        <v>#DIV/0!</v>
      </c>
      <c r="I44" s="112"/>
      <c r="J44" s="111" t="e">
        <f t="shared" si="12"/>
        <v>#DIV/0!</v>
      </c>
      <c r="K44" s="112"/>
    </row>
    <row r="45" spans="1:11">
      <c r="A45" s="117">
        <v>23</v>
      </c>
      <c r="B45" s="20" t="str">
        <f>Pedidos!B29</f>
        <v>Tras Cementerio</v>
      </c>
      <c r="C45" s="23">
        <f>(Pedidos!D29)</f>
        <v>0</v>
      </c>
      <c r="D45" s="21">
        <f t="shared" si="6"/>
        <v>0</v>
      </c>
      <c r="E45" s="54">
        <f>(C45*D19)</f>
        <v>0</v>
      </c>
      <c r="F45" s="114">
        <f t="shared" si="11"/>
        <v>0</v>
      </c>
      <c r="G45" s="115"/>
      <c r="H45" s="111" t="e">
        <f>(F45-G9)</f>
        <v>#DIV/0!</v>
      </c>
      <c r="I45" s="112"/>
      <c r="J45" s="111" t="e">
        <f t="shared" si="12"/>
        <v>#DIV/0!</v>
      </c>
      <c r="K45" s="112"/>
    </row>
    <row r="46" spans="1:11">
      <c r="A46" s="117">
        <v>24</v>
      </c>
      <c r="B46" s="21" t="str">
        <f>Pedidos!B30</f>
        <v>Kuri</v>
      </c>
      <c r="C46" s="23">
        <f>(Pedidos!D30)</f>
        <v>0</v>
      </c>
      <c r="D46" s="21">
        <f t="shared" si="6"/>
        <v>0</v>
      </c>
      <c r="E46" s="54">
        <f>(C46*D19)</f>
        <v>0</v>
      </c>
      <c r="F46" s="114">
        <f t="shared" si="11"/>
        <v>0</v>
      </c>
      <c r="G46" s="115"/>
      <c r="H46" s="111" t="e">
        <f>(F46-G9)</f>
        <v>#DIV/0!</v>
      </c>
      <c r="I46" s="112"/>
      <c r="J46" s="111" t="e">
        <f t="shared" si="12"/>
        <v>#DIV/0!</v>
      </c>
      <c r="K46" s="112"/>
    </row>
    <row r="47" spans="1:11">
      <c r="A47" s="117">
        <v>25</v>
      </c>
      <c r="B47" s="20" t="str">
        <f>Pedidos!B31</f>
        <v>Ugel</v>
      </c>
      <c r="C47" s="23">
        <f>(Pedidos!D31)</f>
        <v>0</v>
      </c>
      <c r="D47" s="21">
        <f t="shared" si="6"/>
        <v>0</v>
      </c>
      <c r="E47" s="54">
        <f>(C47*D19)</f>
        <v>0</v>
      </c>
      <c r="F47" s="114">
        <f t="shared" si="11"/>
        <v>0</v>
      </c>
      <c r="G47" s="115"/>
      <c r="H47" s="111" t="e">
        <f>(F47-G9)</f>
        <v>#DIV/0!</v>
      </c>
      <c r="I47" s="112"/>
      <c r="J47" s="111" t="e">
        <f t="shared" si="12"/>
        <v>#DIV/0!</v>
      </c>
      <c r="K47" s="112"/>
    </row>
    <row r="48" spans="1:11">
      <c r="B48" s="21"/>
      <c r="C48" s="23">
        <f>(Pedidos!D32)</f>
        <v>0</v>
      </c>
      <c r="D48" s="21">
        <f t="shared" si="6"/>
        <v>0</v>
      </c>
      <c r="E48" s="54">
        <f>(C48*D19)</f>
        <v>0</v>
      </c>
      <c r="F48" s="114">
        <f t="shared" si="11"/>
        <v>0</v>
      </c>
      <c r="G48" s="115"/>
      <c r="H48" s="111" t="e">
        <f>(F48-G9)</f>
        <v>#DIV/0!</v>
      </c>
      <c r="I48" s="112"/>
      <c r="J48" s="111" t="e">
        <f t="shared" si="12"/>
        <v>#DIV/0!</v>
      </c>
      <c r="K48" s="112"/>
    </row>
    <row r="49" spans="2:11">
      <c r="B49" s="58"/>
      <c r="C49" s="23">
        <f>(Pedidos!D33)</f>
        <v>0</v>
      </c>
      <c r="D49" s="21">
        <f t="shared" si="6"/>
        <v>0</v>
      </c>
      <c r="E49" s="54">
        <f>(C49*D19)</f>
        <v>0</v>
      </c>
      <c r="F49" s="114">
        <f t="shared" si="11"/>
        <v>0</v>
      </c>
      <c r="G49" s="115"/>
      <c r="H49" s="111" t="e">
        <f>(F49-G9)</f>
        <v>#DIV/0!</v>
      </c>
      <c r="I49" s="112"/>
      <c r="J49" s="111" t="e">
        <f t="shared" si="12"/>
        <v>#DIV/0!</v>
      </c>
      <c r="K49" s="112"/>
    </row>
    <row r="50" spans="2:11">
      <c r="B50" s="58"/>
      <c r="C50" s="23">
        <f>(Pedidos!D34)</f>
        <v>0</v>
      </c>
      <c r="D50" s="21">
        <f t="shared" si="6"/>
        <v>0</v>
      </c>
      <c r="E50" s="54">
        <f>(C50*D19)</f>
        <v>0</v>
      </c>
      <c r="F50" s="114">
        <f t="shared" si="11"/>
        <v>0</v>
      </c>
      <c r="G50" s="115"/>
      <c r="H50" s="111" t="e">
        <f>(F50-G9)</f>
        <v>#DIV/0!</v>
      </c>
      <c r="I50" s="112"/>
      <c r="J50" s="111" t="e">
        <f t="shared" si="12"/>
        <v>#DIV/0!</v>
      </c>
      <c r="K50" s="112"/>
    </row>
    <row r="51" spans="2:11">
      <c r="B51" s="58"/>
      <c r="C51" s="23">
        <f>(Pedidos!D35)</f>
        <v>0</v>
      </c>
      <c r="D51" s="21">
        <f t="shared" si="6"/>
        <v>0</v>
      </c>
      <c r="E51" s="54">
        <f>(C51*D19)</f>
        <v>0</v>
      </c>
      <c r="F51" s="114">
        <f t="shared" ref="F51:F54" si="14">IF(D51=0,0,E51/D51)</f>
        <v>0</v>
      </c>
      <c r="G51" s="115"/>
      <c r="H51" s="111" t="e">
        <f>(F51-G9)</f>
        <v>#DIV/0!</v>
      </c>
      <c r="I51" s="112"/>
      <c r="J51" s="111" t="e">
        <f t="shared" si="12"/>
        <v>#DIV/0!</v>
      </c>
      <c r="K51" s="112"/>
    </row>
    <row r="52" spans="2:11">
      <c r="B52" s="58"/>
      <c r="C52" s="23">
        <f>(Pedidos!D36)</f>
        <v>0</v>
      </c>
      <c r="D52" s="21">
        <f t="shared" si="6"/>
        <v>0</v>
      </c>
      <c r="E52" s="54">
        <f>(C52*D19)</f>
        <v>0</v>
      </c>
      <c r="F52" s="114">
        <f t="shared" si="14"/>
        <v>0</v>
      </c>
      <c r="G52" s="115"/>
      <c r="H52" s="111" t="e">
        <f>(F52-G9)</f>
        <v>#DIV/0!</v>
      </c>
      <c r="I52" s="112"/>
      <c r="J52" s="111" t="e">
        <f t="shared" si="12"/>
        <v>#DIV/0!</v>
      </c>
      <c r="K52" s="112"/>
    </row>
    <row r="53" spans="2:11">
      <c r="B53" s="58"/>
      <c r="C53" s="23">
        <f>(Pedidos!D37)</f>
        <v>0</v>
      </c>
      <c r="D53" s="21">
        <f t="shared" si="6"/>
        <v>0</v>
      </c>
      <c r="E53" s="54">
        <f>(C53*D19)</f>
        <v>0</v>
      </c>
      <c r="F53" s="114">
        <f t="shared" si="14"/>
        <v>0</v>
      </c>
      <c r="G53" s="115"/>
      <c r="H53" s="111" t="e">
        <f>(F53-G9)</f>
        <v>#DIV/0!</v>
      </c>
      <c r="I53" s="112"/>
      <c r="J53" s="111" t="e">
        <f t="shared" si="12"/>
        <v>#DIV/0!</v>
      </c>
      <c r="K53" s="112"/>
    </row>
    <row r="54" spans="2:11">
      <c r="B54" s="21" t="s">
        <v>24</v>
      </c>
      <c r="C54" s="23">
        <f>(Pedidos!D38)</f>
        <v>0</v>
      </c>
      <c r="D54" s="21">
        <f t="shared" si="6"/>
        <v>0</v>
      </c>
      <c r="E54" s="54">
        <f>(C54*D19)</f>
        <v>0</v>
      </c>
      <c r="F54" s="114">
        <f t="shared" si="14"/>
        <v>0</v>
      </c>
      <c r="G54" s="115"/>
      <c r="H54" s="111" t="e">
        <f>(F54-G9)</f>
        <v>#DIV/0!</v>
      </c>
      <c r="I54" s="112"/>
      <c r="J54" s="111" t="e">
        <f t="shared" si="12"/>
        <v>#DIV/0!</v>
      </c>
      <c r="K54" s="112"/>
    </row>
    <row r="55" ht="15.15" spans="2:11">
      <c r="J55" s="118" t="e">
        <f>SUM(J22:J38)</f>
        <v>#DIV/0!</v>
      </c>
      <c r="K55" s="119"/>
    </row>
    <row r="56" ht="15.15" spans="2:11">
      <c r="D56" s="70" t="s">
        <v>25</v>
      </c>
      <c r="E56" s="71"/>
      <c r="H56" s="72" t="s">
        <v>26</v>
      </c>
      <c r="I56" s="73"/>
    </row>
    <row r="57" ht="15.15" spans="2:11">
      <c r="D57" s="74">
        <f>SUM(D22:D54)</f>
        <v>0</v>
      </c>
      <c r="E57" s="75"/>
      <c r="H57" s="120">
        <f>(D57/12)</f>
        <v>0</v>
      </c>
      <c r="I57" s="121"/>
    </row>
  </sheetData>
  <mergeCells count="118">
    <mergeCell ref="G5:H5"/>
    <mergeCell ref="G6:H6"/>
    <mergeCell ref="G8:H8"/>
    <mergeCell ref="G9:H9"/>
    <mergeCell ref="F16:G16"/>
    <mergeCell ref="H16:I16"/>
    <mergeCell ref="F17:G17"/>
    <mergeCell ref="H17:I17"/>
    <mergeCell ref="F18:G18"/>
    <mergeCell ref="H18:I18"/>
    <mergeCell ref="F19:G19"/>
    <mergeCell ref="H19:I19"/>
    <mergeCell ref="F21:G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J55:K55"/>
    <mergeCell ref="D56:E56"/>
    <mergeCell ref="H56:I56"/>
    <mergeCell ref="D57:E57"/>
    <mergeCell ref="H57:I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77"/>
  <sheetViews>
    <sheetView tabSelected="1" zoomScale="90" zoomScaleNormal="90" topLeftCell="A12" workbookViewId="0">
      <selection activeCell="J31" sqref="J31"/>
    </sheetView>
  </sheetViews>
  <sheetFormatPr defaultColWidth="11" defaultRowHeight="14.4"/>
  <cols>
    <col min="1" max="1" width="4.28703703703704" customWidth="1"/>
    <col min="2" max="3" width="16" customWidth="1"/>
    <col min="4" max="5" width="15.4259259259259" customWidth="1"/>
    <col min="6" max="6" width="11.4259259259259"/>
    <col min="7" max="7" width="11.5740740740741" customWidth="1"/>
    <col min="8" max="8" width="14.712962962963" customWidth="1"/>
    <col min="9" max="9" width="12.287037037037" customWidth="1"/>
    <col min="10" max="10" width="18.287037037037" customWidth="1"/>
    <col min="11" max="16384" width="11.4259259259259"/>
  </cols>
  <sheetData>
    <row r="2" spans="2:10">
      <c r="E2" s="25" t="s">
        <v>27</v>
      </c>
      <c r="F2" s="25"/>
      <c r="G2" s="25"/>
    </row>
    <row r="3" spans="2:10">
      <c r="E3" s="25"/>
      <c r="F3" s="25"/>
      <c r="G3" s="25"/>
    </row>
    <row r="4" ht="15.15" spans="2:10">
      <c r="F4" s="8"/>
      <c r="G4" s="8"/>
    </row>
    <row r="5" spans="2:10">
      <c r="B5" s="26"/>
      <c r="C5" s="27" t="s">
        <v>1</v>
      </c>
      <c r="D5" s="27" t="s">
        <v>2</v>
      </c>
      <c r="E5" s="27" t="s">
        <v>3</v>
      </c>
      <c r="H5" s="28" t="s">
        <v>28</v>
      </c>
      <c r="I5" s="29"/>
      <c r="J5" t="s">
        <v>29</v>
      </c>
    </row>
    <row r="6" ht="15.15" spans="2:10">
      <c r="B6" s="3" t="s">
        <v>5</v>
      </c>
      <c r="C6" s="4">
        <f>(H7/66)</f>
        <v>3.27272727272727</v>
      </c>
      <c r="D6" s="63">
        <v>2</v>
      </c>
      <c r="E6" s="30">
        <f>(C6*D6)</f>
        <v>6.54545454545455</v>
      </c>
      <c r="H6" s="31" t="s">
        <v>30</v>
      </c>
      <c r="I6" s="32"/>
    </row>
    <row r="7" ht="15.15" spans="2:10">
      <c r="B7" s="3" t="s">
        <v>6</v>
      </c>
      <c r="C7" s="4">
        <f>(C6*0.4)</f>
        <v>1.30909090909091</v>
      </c>
      <c r="D7" s="63">
        <v>6.2</v>
      </c>
      <c r="E7" s="30">
        <f>(C7*D7)</f>
        <v>8.11636363636364</v>
      </c>
      <c r="H7" s="33">
        <f>(D63)</f>
        <v>216</v>
      </c>
      <c r="I7" s="34"/>
    </row>
    <row r="8" ht="15.15" spans="2:10">
      <c r="B8" s="3" t="s">
        <v>9</v>
      </c>
      <c r="C8" s="4">
        <f>(C6*0.25)</f>
        <v>0.818181818181818</v>
      </c>
      <c r="D8" s="63">
        <v>2.5</v>
      </c>
      <c r="E8" s="30">
        <f t="shared" ref="E8:E14" si="0">(C8*D8)</f>
        <v>2.04545454545455</v>
      </c>
      <c r="H8" s="35" t="s">
        <v>31</v>
      </c>
      <c r="I8" s="36"/>
    </row>
    <row r="9" ht="15.15" spans="2:10">
      <c r="B9" s="3" t="s">
        <v>10</v>
      </c>
      <c r="C9" s="4">
        <f>(C6*0.035)</f>
        <v>0.114545454545455</v>
      </c>
      <c r="D9" s="63">
        <v>0.5</v>
      </c>
      <c r="E9" s="30">
        <f t="shared" si="0"/>
        <v>0.0572727272727273</v>
      </c>
      <c r="H9" s="37">
        <f>(E18/H7)</f>
        <v>0.281973905723906</v>
      </c>
      <c r="I9" s="38"/>
    </row>
    <row r="10" spans="2:10">
      <c r="B10" s="3" t="s">
        <v>32</v>
      </c>
      <c r="C10" s="4">
        <f>(C6*0.9)</f>
        <v>2.94545454545455</v>
      </c>
      <c r="D10" s="63">
        <v>1.5</v>
      </c>
      <c r="E10" s="30">
        <f t="shared" si="0"/>
        <v>4.41818181818182</v>
      </c>
    </row>
    <row r="11" spans="2:10">
      <c r="B11" s="3" t="s">
        <v>33</v>
      </c>
      <c r="C11" s="4">
        <f>(C6*0.5)</f>
        <v>1.63636363636364</v>
      </c>
      <c r="D11" s="63">
        <v>7</v>
      </c>
      <c r="E11" s="30">
        <f t="shared" si="0"/>
        <v>11.4545454545455</v>
      </c>
    </row>
    <row r="12" spans="2:10">
      <c r="B12" s="3" t="s">
        <v>34</v>
      </c>
      <c r="C12" s="4">
        <f>(C6*0.36)</f>
        <v>1.17818181818182</v>
      </c>
      <c r="D12" s="63">
        <v>0</v>
      </c>
      <c r="E12" s="30">
        <f t="shared" si="0"/>
        <v>0</v>
      </c>
    </row>
    <row r="13" spans="2:10">
      <c r="B13" s="3" t="s">
        <v>35</v>
      </c>
      <c r="C13" s="4">
        <f>(C6*0.17)</f>
        <v>0.556363636363636</v>
      </c>
      <c r="D13" s="63">
        <v>0.5</v>
      </c>
      <c r="E13" s="30">
        <f t="shared" si="0"/>
        <v>0.278181818181818</v>
      </c>
    </row>
    <row r="14" spans="2:10">
      <c r="B14" s="3" t="s">
        <v>11</v>
      </c>
      <c r="C14" s="4">
        <f>(C6*0.5)</f>
        <v>1.63636363636364</v>
      </c>
      <c r="D14" s="63">
        <v>0.3</v>
      </c>
      <c r="E14" s="30">
        <f t="shared" si="0"/>
        <v>0.490909090909091</v>
      </c>
    </row>
    <row r="15" spans="2:10">
      <c r="B15" s="3" t="s">
        <v>36</v>
      </c>
      <c r="C15" s="4"/>
      <c r="D15" s="64">
        <v>0</v>
      </c>
      <c r="E15" s="30">
        <v>15</v>
      </c>
    </row>
    <row r="16" spans="2:10">
      <c r="B16" s="3" t="s">
        <v>12</v>
      </c>
      <c r="C16" s="4">
        <v>1</v>
      </c>
      <c r="D16" s="63">
        <v>2.5</v>
      </c>
      <c r="E16" s="30">
        <f>(C16*D16)</f>
        <v>2.5</v>
      </c>
    </row>
    <row r="17" ht="15.15" spans="1:11">
      <c r="B17" s="3" t="s">
        <v>13</v>
      </c>
      <c r="C17" s="4">
        <v>1</v>
      </c>
      <c r="D17" s="63">
        <v>7</v>
      </c>
      <c r="E17" s="30">
        <v>10</v>
      </c>
    </row>
    <row r="18" ht="15.15" spans="1:11">
      <c r="E18" s="40">
        <f>SUM(E6:E17)</f>
        <v>60.9063636363636</v>
      </c>
    </row>
    <row r="21" spans="1:11">
      <c r="E21" s="41" t="s">
        <v>14</v>
      </c>
      <c r="F21" s="42" t="s">
        <v>15</v>
      </c>
      <c r="G21" s="42"/>
      <c r="I21" s="43" t="s">
        <v>16</v>
      </c>
      <c r="J21" s="43"/>
    </row>
    <row r="22" spans="1:11">
      <c r="B22" s="8" t="s">
        <v>37</v>
      </c>
      <c r="D22" s="5">
        <v>4.5</v>
      </c>
      <c r="E22">
        <v>12</v>
      </c>
      <c r="F22" s="44">
        <f>(D22/E22)</f>
        <v>0.375</v>
      </c>
      <c r="G22" s="44"/>
      <c r="I22" s="44">
        <f>(F22-H9)</f>
        <v>0.0930260942760943</v>
      </c>
      <c r="J22" s="44"/>
    </row>
    <row r="23" spans="1:11">
      <c r="B23" s="8" t="s">
        <v>17</v>
      </c>
      <c r="D23" s="5">
        <v>5</v>
      </c>
      <c r="E23">
        <v>12</v>
      </c>
      <c r="F23" s="44">
        <f>(D23/E23)</f>
        <v>0.416666666666667</v>
      </c>
      <c r="G23" s="44"/>
      <c r="I23" s="44">
        <f>(F23-H9)</f>
        <v>0.134692760942761</v>
      </c>
      <c r="J23" s="44"/>
    </row>
    <row r="24" spans="1:11">
      <c r="B24" s="45" t="s">
        <v>17</v>
      </c>
      <c r="C24" s="45"/>
      <c r="D24" s="5">
        <v>4.8</v>
      </c>
      <c r="E24">
        <v>12</v>
      </c>
      <c r="F24" s="44">
        <f>(D24/E24)</f>
        <v>0.4</v>
      </c>
      <c r="G24" s="44"/>
      <c r="I24" s="44">
        <f>(F24-H9)</f>
        <v>0.118026094276094</v>
      </c>
      <c r="J24" s="44"/>
    </row>
    <row r="25" spans="1:11">
      <c r="B25" s="45" t="s">
        <v>17</v>
      </c>
      <c r="C25" s="45"/>
      <c r="D25" s="5">
        <v>5.5</v>
      </c>
      <c r="E25">
        <v>12</v>
      </c>
      <c r="F25" s="44">
        <f>(D25/E25)</f>
        <v>0.458333333333333</v>
      </c>
      <c r="G25" s="44"/>
      <c r="I25" s="44">
        <f>(F25-H9)</f>
        <v>0.176359427609428</v>
      </c>
      <c r="J25" s="44"/>
    </row>
    <row r="26" ht="15.15" spans="1:11">
      <c r="B26" s="45"/>
      <c r="C26" s="45"/>
      <c r="D26" s="5"/>
      <c r="F26" s="44"/>
      <c r="G26" s="44"/>
      <c r="I26" s="44"/>
      <c r="J26" s="44"/>
    </row>
    <row r="27" ht="15.15" spans="1:11">
      <c r="A27" s="8" t="s">
        <v>38</v>
      </c>
      <c r="B27" s="46" t="s">
        <v>19</v>
      </c>
      <c r="C27" s="46" t="s">
        <v>20</v>
      </c>
      <c r="D27" s="47" t="s">
        <v>21</v>
      </c>
      <c r="E27" s="47" t="s">
        <v>17</v>
      </c>
      <c r="F27" s="48" t="s">
        <v>22</v>
      </c>
      <c r="G27" s="49"/>
      <c r="H27" s="50" t="s">
        <v>16</v>
      </c>
      <c r="I27" s="51"/>
      <c r="J27" s="52" t="s">
        <v>23</v>
      </c>
    </row>
    <row r="28" spans="1:11">
      <c r="A28" s="53">
        <v>1</v>
      </c>
      <c r="B28" s="23" t="str">
        <f>Pedidos!B6</f>
        <v>Pautet K1</v>
      </c>
      <c r="C28" s="23">
        <f>(Pedidos!C6)</f>
        <v>1</v>
      </c>
      <c r="D28" s="23">
        <f t="shared" ref="D28:D35" si="1">(C28*12)</f>
        <v>12</v>
      </c>
      <c r="E28" s="54">
        <f>(C28*D22)</f>
        <v>4.5</v>
      </c>
      <c r="F28" s="55">
        <f t="shared" ref="F28:F33" si="2">IF(D28=0,0,E28/D28)</f>
        <v>0.375</v>
      </c>
      <c r="G28" s="55"/>
      <c r="H28" s="55">
        <f>(F28-H9)</f>
        <v>0.0930260942760943</v>
      </c>
      <c r="I28" s="55"/>
      <c r="J28" s="54">
        <f>(D28*H28)</f>
        <v>1.11631313131313</v>
      </c>
    </row>
    <row r="29" s="26" customFormat="1" spans="1:11">
      <c r="A29" s="16">
        <v>2</v>
      </c>
      <c r="B29" s="21" t="str">
        <f>Pedidos!B7</f>
        <v>Alas Peruanas</v>
      </c>
      <c r="C29" s="23">
        <f>(Pedidos!C7)</f>
        <v>2</v>
      </c>
      <c r="D29" s="21">
        <f t="shared" si="1"/>
        <v>24</v>
      </c>
      <c r="E29" s="65">
        <f>(C29*D25)</f>
        <v>11</v>
      </c>
      <c r="F29" s="56">
        <f t="shared" si="2"/>
        <v>0.458333333333333</v>
      </c>
      <c r="G29" s="56"/>
      <c r="H29" s="56">
        <f>(F29-H9)</f>
        <v>0.176359427609428</v>
      </c>
      <c r="I29" s="56"/>
      <c r="J29" s="57">
        <f t="shared" ref="J29:J60" si="3">(D29*H29)</f>
        <v>4.23262626262626</v>
      </c>
      <c r="K29"/>
    </row>
    <row r="30" spans="1:11">
      <c r="A30" s="53">
        <v>3</v>
      </c>
      <c r="B30" s="58" t="str">
        <f>Pedidos!B8</f>
        <v>AP K1</v>
      </c>
      <c r="C30" s="23">
        <f>(Pedidos!C8)</f>
        <v>4</v>
      </c>
      <c r="D30" s="58">
        <f t="shared" si="1"/>
        <v>48</v>
      </c>
      <c r="E30" s="54">
        <f>(C30*D23)</f>
        <v>20</v>
      </c>
      <c r="F30" s="59">
        <f t="shared" si="2"/>
        <v>0.416666666666667</v>
      </c>
      <c r="G30" s="59"/>
      <c r="H30" s="59">
        <f>(F30-H9)</f>
        <v>0.134692760942761</v>
      </c>
      <c r="I30" s="59"/>
      <c r="J30" s="60">
        <f t="shared" si="3"/>
        <v>6.46525252525253</v>
      </c>
    </row>
    <row r="31" s="26" customFormat="1" spans="1:11">
      <c r="A31" s="16">
        <v>4</v>
      </c>
      <c r="B31" s="21" t="s">
        <v>39</v>
      </c>
      <c r="C31" s="23">
        <f>(Pedidos!C9)</f>
        <v>2</v>
      </c>
      <c r="D31" s="58">
        <f t="shared" si="1"/>
        <v>24</v>
      </c>
      <c r="E31" s="54">
        <f>(C31*D23)</f>
        <v>10</v>
      </c>
      <c r="F31" s="56">
        <f t="shared" si="2"/>
        <v>0.416666666666667</v>
      </c>
      <c r="G31" s="56"/>
      <c r="H31" s="56">
        <f>(F31-H9)</f>
        <v>0.134692760942761</v>
      </c>
      <c r="I31" s="56"/>
      <c r="J31" s="57">
        <f t="shared" si="3"/>
        <v>3.23262626262626</v>
      </c>
      <c r="K31"/>
    </row>
    <row r="32" spans="1:11">
      <c r="A32" s="53">
        <v>5</v>
      </c>
      <c r="B32" s="58" t="str">
        <f>Pedidos!B9</f>
        <v>AP K4</v>
      </c>
      <c r="C32" s="23">
        <f>(Pedidos!C10)</f>
        <v>0</v>
      </c>
      <c r="D32" s="58">
        <f t="shared" si="1"/>
        <v>0</v>
      </c>
      <c r="E32" s="60">
        <f>(C32*D25)</f>
        <v>0</v>
      </c>
      <c r="F32" s="59">
        <f t="shared" si="2"/>
        <v>0</v>
      </c>
      <c r="G32" s="59"/>
      <c r="H32" s="59">
        <f>(F32-H9)</f>
        <v>-0.281973905723906</v>
      </c>
      <c r="I32" s="59"/>
      <c r="J32" s="60">
        <f t="shared" si="3"/>
        <v>0</v>
      </c>
    </row>
    <row r="33" s="26" customFormat="1" spans="1:11">
      <c r="A33" s="16">
        <v>6</v>
      </c>
      <c r="B33" s="21" t="str">
        <f>Pedidos!B11</f>
        <v>AP K7</v>
      </c>
      <c r="C33" s="23">
        <f>(Pedidos!C11)</f>
        <v>2</v>
      </c>
      <c r="D33" s="21">
        <f t="shared" si="1"/>
        <v>24</v>
      </c>
      <c r="E33" s="57">
        <f>(C33*D25)</f>
        <v>11</v>
      </c>
      <c r="F33" s="56">
        <f t="shared" si="2"/>
        <v>0.458333333333333</v>
      </c>
      <c r="G33" s="56"/>
      <c r="H33" s="56">
        <f>(F33-H9)</f>
        <v>0.176359427609428</v>
      </c>
      <c r="I33" s="56"/>
      <c r="J33" s="57">
        <f t="shared" si="3"/>
        <v>4.23262626262626</v>
      </c>
      <c r="K33"/>
    </row>
    <row r="34" s="26" customFormat="1" spans="1:11">
      <c r="A34" s="53">
        <v>7</v>
      </c>
      <c r="B34" s="58" t="str">
        <f>Pedidos!B12</f>
        <v>Sistema 2000</v>
      </c>
      <c r="C34" s="23">
        <f>(Pedidos!C12)</f>
        <v>3</v>
      </c>
      <c r="D34" s="21">
        <f t="shared" si="1"/>
        <v>36</v>
      </c>
      <c r="E34" s="60">
        <f>(C34*D23)</f>
        <v>15</v>
      </c>
      <c r="F34" s="59">
        <f t="shared" ref="F34:F60" si="4">IF(D34=0,0,E34/D34)</f>
        <v>0.416666666666667</v>
      </c>
      <c r="G34" s="59"/>
      <c r="H34" s="59">
        <f>(F34-H9)</f>
        <v>0.134692760942761</v>
      </c>
      <c r="I34" s="59"/>
      <c r="J34" s="60">
        <f t="shared" si="3"/>
        <v>4.84893939393939</v>
      </c>
    </row>
    <row r="35" spans="1:11">
      <c r="A35" s="16">
        <v>8</v>
      </c>
      <c r="B35" s="21" t="str">
        <f>Pedidos!B13</f>
        <v>Corazon de Jesus</v>
      </c>
      <c r="C35" s="23">
        <f>(Pedidos!C13)</f>
        <v>2</v>
      </c>
      <c r="D35" s="21">
        <f t="shared" si="1"/>
        <v>24</v>
      </c>
      <c r="E35" s="57">
        <f>(C35*D23)</f>
        <v>10</v>
      </c>
      <c r="F35" s="56">
        <f t="shared" si="4"/>
        <v>0.416666666666667</v>
      </c>
      <c r="G35" s="56"/>
      <c r="H35" s="56">
        <f>(F35-H9)</f>
        <v>0.134692760942761</v>
      </c>
      <c r="I35" s="56"/>
      <c r="J35" s="66">
        <f t="shared" si="3"/>
        <v>3.23262626262626</v>
      </c>
    </row>
    <row r="36" spans="1:11">
      <c r="A36" s="53">
        <v>9</v>
      </c>
      <c r="B36" s="58" t="str">
        <f>Pedidos!B14</f>
        <v>Mandamiento</v>
      </c>
      <c r="C36" s="23">
        <f>(Pedidos!C14)</f>
        <v>2</v>
      </c>
      <c r="D36" s="58">
        <f t="shared" ref="D36:D41" si="5">(C36*12)</f>
        <v>24</v>
      </c>
      <c r="E36" s="60">
        <f>(C36*D23)</f>
        <v>10</v>
      </c>
      <c r="F36" s="59">
        <f t="shared" ref="F36:F39" si="6">IF(D36=0,0,E36/D36)</f>
        <v>0.416666666666667</v>
      </c>
      <c r="G36" s="59"/>
      <c r="H36" s="59">
        <f>(F36-H9)</f>
        <v>0.134692760942761</v>
      </c>
      <c r="I36" s="59"/>
      <c r="J36" s="67">
        <f t="shared" si="3"/>
        <v>3.23262626262626</v>
      </c>
    </row>
    <row r="37" spans="1:11">
      <c r="A37" s="16">
        <v>10</v>
      </c>
      <c r="B37" s="21" t="str">
        <f>Pedidos!B15</f>
        <v>Las Madres</v>
      </c>
      <c r="C37" s="23">
        <f>(Pedidos!C15)</f>
        <v>0</v>
      </c>
      <c r="D37" s="21">
        <f t="shared" si="5"/>
        <v>0</v>
      </c>
      <c r="E37" s="57">
        <f>(C37*D24)</f>
        <v>0</v>
      </c>
      <c r="F37" s="56">
        <f t="shared" si="6"/>
        <v>0</v>
      </c>
      <c r="G37" s="56"/>
      <c r="H37" s="56">
        <f>(F37-H9)</f>
        <v>-0.281973905723906</v>
      </c>
      <c r="I37" s="56"/>
      <c r="J37" s="57">
        <f t="shared" si="3"/>
        <v>0</v>
      </c>
    </row>
    <row r="38" spans="1:11">
      <c r="A38" s="16">
        <v>11</v>
      </c>
      <c r="B38" s="21" t="str">
        <f>Pedidos!B16</f>
        <v>La Merced</v>
      </c>
      <c r="C38" s="23">
        <f>(Pedidos!C16)</f>
        <v>0</v>
      </c>
      <c r="D38" s="21">
        <f t="shared" si="5"/>
        <v>0</v>
      </c>
      <c r="E38" s="57">
        <f>(C38*D24)</f>
        <v>0</v>
      </c>
      <c r="F38" s="56">
        <f t="shared" si="6"/>
        <v>0</v>
      </c>
      <c r="G38" s="56"/>
      <c r="H38" s="56">
        <f>(F38-H9)</f>
        <v>-0.281973905723906</v>
      </c>
      <c r="I38" s="56"/>
      <c r="J38" s="57">
        <f t="shared" si="3"/>
        <v>0</v>
      </c>
    </row>
    <row r="39" spans="1:11">
      <c r="A39" s="53">
        <v>12</v>
      </c>
      <c r="B39" s="58" t="str">
        <f>Pedidos!B17</f>
        <v>SIL</v>
      </c>
      <c r="C39" s="23">
        <f>(Pedidos!C17)</f>
        <v>0</v>
      </c>
      <c r="D39" s="58">
        <f t="shared" si="5"/>
        <v>0</v>
      </c>
      <c r="E39" s="60">
        <f>(C39*D23)</f>
        <v>0</v>
      </c>
      <c r="F39" s="59">
        <f t="shared" si="6"/>
        <v>0</v>
      </c>
      <c r="G39" s="59"/>
      <c r="H39" s="59">
        <f>(F39-H9)</f>
        <v>-0.281973905723906</v>
      </c>
      <c r="I39" s="59"/>
      <c r="J39" s="60">
        <f t="shared" si="3"/>
        <v>0</v>
      </c>
    </row>
    <row r="40" spans="1:11">
      <c r="A40" s="16">
        <v>13</v>
      </c>
      <c r="B40" s="21" t="str">
        <f>Pedidos!B18</f>
        <v>Columbia</v>
      </c>
      <c r="C40" s="23">
        <f>(Pedidos!C18)</f>
        <v>0</v>
      </c>
      <c r="D40" s="21">
        <f t="shared" si="5"/>
        <v>0</v>
      </c>
      <c r="E40" s="57">
        <f>(C40*D23)</f>
        <v>0</v>
      </c>
      <c r="F40" s="56">
        <f t="shared" ref="F40:F51" si="7">IF(D40=0,0,E40/D40)</f>
        <v>0</v>
      </c>
      <c r="G40" s="56"/>
      <c r="H40" s="56">
        <f>(F40-H9)</f>
        <v>-0.281973905723906</v>
      </c>
      <c r="I40" s="56"/>
      <c r="J40" s="57">
        <f t="shared" ref="J40:J51" si="8">(D40*H40)</f>
        <v>0</v>
      </c>
    </row>
    <row r="41" spans="1:11">
      <c r="A41" s="16"/>
      <c r="B41" s="21" t="str">
        <f>Pedidos!B19</f>
        <v>Inmaculada</v>
      </c>
      <c r="C41" s="23">
        <f>Pedidos!C19</f>
        <v>0</v>
      </c>
      <c r="D41" s="21">
        <f t="shared" si="5"/>
        <v>0</v>
      </c>
      <c r="E41" s="57">
        <f>(C41*D23)</f>
        <v>0</v>
      </c>
      <c r="F41" s="56">
        <f t="shared" ref="F41" si="9">IF(D41=0,0,E41/D41)</f>
        <v>0</v>
      </c>
      <c r="G41" s="56"/>
      <c r="H41" s="56">
        <f>(F41-H9)</f>
        <v>-0.281973905723906</v>
      </c>
      <c r="I41" s="56"/>
      <c r="J41" s="57">
        <f t="shared" si="8"/>
        <v>0</v>
      </c>
    </row>
    <row r="42" spans="1:11">
      <c r="A42" s="53">
        <v>14</v>
      </c>
      <c r="B42" s="58" t="str">
        <f>Pedidos!B20</f>
        <v>Jardín 86</v>
      </c>
      <c r="C42" s="23">
        <f>(Pedidos!C20)</f>
        <v>0</v>
      </c>
      <c r="D42" s="58">
        <f t="shared" ref="D42:D55" si="10">(C42*12)</f>
        <v>0</v>
      </c>
      <c r="E42" s="60">
        <f>(C42*D23)</f>
        <v>0</v>
      </c>
      <c r="F42" s="59">
        <f t="shared" si="7"/>
        <v>0</v>
      </c>
      <c r="G42" s="59"/>
      <c r="H42" s="59">
        <f>(F42-H9)</f>
        <v>-0.281973905723906</v>
      </c>
      <c r="I42" s="59"/>
      <c r="J42" s="60">
        <f t="shared" si="8"/>
        <v>0</v>
      </c>
    </row>
    <row r="43" spans="1:11">
      <c r="A43" s="16">
        <v>15</v>
      </c>
      <c r="B43" s="21" t="str">
        <f>Pedidos!B21</f>
        <v>Agencia S/M</v>
      </c>
      <c r="C43" s="23">
        <f>(Pedidos!C21)</f>
        <v>0</v>
      </c>
      <c r="D43" s="21">
        <f t="shared" si="10"/>
        <v>0</v>
      </c>
      <c r="E43" s="57">
        <f>(C43*D22)</f>
        <v>0</v>
      </c>
      <c r="F43" s="56">
        <f t="shared" si="7"/>
        <v>0</v>
      </c>
      <c r="G43" s="56"/>
      <c r="H43" s="56">
        <f>(F43-H9)</f>
        <v>-0.281973905723906</v>
      </c>
      <c r="I43" s="56"/>
      <c r="J43" s="57">
        <f t="shared" si="8"/>
        <v>0</v>
      </c>
    </row>
    <row r="44" spans="1:11">
      <c r="A44" s="53">
        <v>16</v>
      </c>
      <c r="B44" s="58" t="str">
        <f>Pedidos!B22</f>
        <v>Fátima k1</v>
      </c>
      <c r="C44" s="23">
        <f>(Pedidos!C22)</f>
        <v>0</v>
      </c>
      <c r="D44" s="58">
        <f t="shared" si="10"/>
        <v>0</v>
      </c>
      <c r="E44" s="60">
        <f>(C44*D23)</f>
        <v>0</v>
      </c>
      <c r="F44" s="59">
        <f t="shared" si="7"/>
        <v>0</v>
      </c>
      <c r="G44" s="59"/>
      <c r="H44" s="59">
        <f>(F44-H9)</f>
        <v>-0.281973905723906</v>
      </c>
      <c r="I44" s="59"/>
      <c r="J44" s="60">
        <f t="shared" si="8"/>
        <v>0</v>
      </c>
    </row>
    <row r="45" spans="1:11">
      <c r="A45" s="16">
        <v>17</v>
      </c>
      <c r="B45" s="58" t="str">
        <f>Pedidos!B23</f>
        <v>Fátima k2</v>
      </c>
      <c r="C45" s="23">
        <f>(Pedidos!C23)</f>
        <v>0</v>
      </c>
      <c r="D45" s="21">
        <f t="shared" si="10"/>
        <v>0</v>
      </c>
      <c r="E45" s="57">
        <f>(C45*D23)</f>
        <v>0</v>
      </c>
      <c r="F45" s="56">
        <f t="shared" si="7"/>
        <v>0</v>
      </c>
      <c r="G45" s="56"/>
      <c r="H45" s="56">
        <f>(F45-H9)</f>
        <v>-0.281973905723906</v>
      </c>
      <c r="I45" s="56"/>
      <c r="J45" s="57">
        <f t="shared" si="8"/>
        <v>0</v>
      </c>
    </row>
    <row r="46" spans="1:11">
      <c r="A46" s="16">
        <v>18</v>
      </c>
      <c r="B46" s="21" t="str">
        <f>Pedidos!B24</f>
        <v>Carmen Sandoval</v>
      </c>
      <c r="C46" s="23">
        <f>(Pedidos!C24)</f>
        <v>0</v>
      </c>
      <c r="D46" s="21">
        <f t="shared" si="10"/>
        <v>0</v>
      </c>
      <c r="E46" s="57">
        <f>(C46*D23)</f>
        <v>0</v>
      </c>
      <c r="F46" s="56">
        <f t="shared" ref="F46" si="11">IF(D46=0,0,E46/D46)</f>
        <v>0</v>
      </c>
      <c r="G46" s="56"/>
      <c r="H46" s="56">
        <f>(F46-H9)</f>
        <v>-0.281973905723906</v>
      </c>
      <c r="I46" s="56"/>
      <c r="J46" s="57">
        <f t="shared" si="8"/>
        <v>0</v>
      </c>
    </row>
    <row r="47" spans="1:11">
      <c r="A47" s="16">
        <v>19</v>
      </c>
      <c r="B47" s="21" t="str">
        <f>Pedidos!B25</f>
        <v>Leon</v>
      </c>
      <c r="C47" s="23">
        <f>(Pedidos!C25)</f>
        <v>0</v>
      </c>
      <c r="D47" s="21">
        <f t="shared" si="10"/>
        <v>0</v>
      </c>
      <c r="E47" s="57">
        <f>(C47*D23)</f>
        <v>0</v>
      </c>
      <c r="F47" s="56">
        <f t="shared" ref="F47:F48" si="12">IF(D47=0,0,E47/D47)</f>
        <v>0</v>
      </c>
      <c r="G47" s="56"/>
      <c r="H47" s="56">
        <f>(F47-H9)</f>
        <v>-0.281973905723906</v>
      </c>
      <c r="I47" s="56"/>
      <c r="J47" s="57">
        <f t="shared" si="8"/>
        <v>0</v>
      </c>
    </row>
    <row r="48" spans="1:11">
      <c r="A48" s="16">
        <v>20</v>
      </c>
      <c r="B48" s="21" t="str">
        <f>Pedidos!B26</f>
        <v>B. Leguia</v>
      </c>
      <c r="C48" s="23">
        <f>(Pedidos!C26)</f>
        <v>0</v>
      </c>
      <c r="D48" s="21">
        <f t="shared" si="10"/>
        <v>0</v>
      </c>
      <c r="E48" s="57">
        <f>(C48*D23)</f>
        <v>0</v>
      </c>
      <c r="F48" s="56">
        <f t="shared" si="12"/>
        <v>0</v>
      </c>
      <c r="G48" s="56"/>
      <c r="H48" s="56">
        <f>(F48-H9)</f>
        <v>-0.281973905723906</v>
      </c>
      <c r="I48" s="56"/>
      <c r="J48" s="57">
        <f t="shared" si="8"/>
        <v>0</v>
      </c>
    </row>
    <row r="49" spans="1:11">
      <c r="A49" s="53">
        <v>21</v>
      </c>
      <c r="B49" s="21" t="str">
        <f>Pedidos!B27</f>
        <v>Echenique</v>
      </c>
      <c r="C49" s="23">
        <f>(Pedidos!C27)</f>
        <v>0</v>
      </c>
      <c r="D49" s="58">
        <f t="shared" si="10"/>
        <v>0</v>
      </c>
      <c r="E49" s="60">
        <f>(C49*D23)</f>
        <v>0</v>
      </c>
      <c r="F49" s="59">
        <f t="shared" si="7"/>
        <v>0</v>
      </c>
      <c r="G49" s="59"/>
      <c r="H49" s="59">
        <f>(F49-H9)</f>
        <v>-0.281973905723906</v>
      </c>
      <c r="I49" s="59"/>
      <c r="J49" s="60">
        <f t="shared" si="8"/>
        <v>0</v>
      </c>
    </row>
    <row r="50" spans="1:11">
      <c r="A50" s="16">
        <v>22</v>
      </c>
      <c r="B50" s="58" t="str">
        <f>Pedidos!B28</f>
        <v>San Martin</v>
      </c>
      <c r="C50" s="23">
        <f>(Pedidos!C28)</f>
        <v>0</v>
      </c>
      <c r="D50" s="21">
        <f t="shared" si="10"/>
        <v>0</v>
      </c>
      <c r="E50" s="57">
        <f>(C50*D23)</f>
        <v>0</v>
      </c>
      <c r="F50" s="56">
        <f t="shared" si="7"/>
        <v>0</v>
      </c>
      <c r="G50" s="56"/>
      <c r="H50" s="56">
        <f>(F50-H9)</f>
        <v>-0.281973905723906</v>
      </c>
      <c r="I50" s="56"/>
      <c r="J50" s="57">
        <f t="shared" si="8"/>
        <v>0</v>
      </c>
    </row>
    <row r="51" spans="1:11">
      <c r="A51" s="53">
        <v>23</v>
      </c>
      <c r="B51" s="21" t="str">
        <f>Pedidos!B29</f>
        <v>Tras Cementerio</v>
      </c>
      <c r="C51" s="23">
        <f>(Pedidos!C29)</f>
        <v>0</v>
      </c>
      <c r="D51" s="58">
        <f t="shared" si="10"/>
        <v>0</v>
      </c>
      <c r="E51" s="60">
        <f>(C51*D23)</f>
        <v>0</v>
      </c>
      <c r="F51" s="59">
        <f t="shared" si="7"/>
        <v>0</v>
      </c>
      <c r="G51" s="59"/>
      <c r="H51" s="59">
        <f>(F51-H9)</f>
        <v>-0.281973905723906</v>
      </c>
      <c r="I51" s="59"/>
      <c r="J51" s="60">
        <f t="shared" si="8"/>
        <v>0</v>
      </c>
    </row>
    <row r="52" s="26" customFormat="1" spans="1:11">
      <c r="A52" s="16">
        <v>24</v>
      </c>
      <c r="B52" s="58" t="str">
        <f>Pedidos!B30</f>
        <v>Kuri</v>
      </c>
      <c r="C52" s="23">
        <f>(Pedidos!C30)</f>
        <v>0</v>
      </c>
      <c r="D52" s="21">
        <f t="shared" si="10"/>
        <v>0</v>
      </c>
      <c r="E52" s="57">
        <f>(C52*D23)</f>
        <v>0</v>
      </c>
      <c r="F52" s="56">
        <f t="shared" si="4"/>
        <v>0</v>
      </c>
      <c r="G52" s="56"/>
      <c r="H52" s="56">
        <f>(F52-H9)</f>
        <v>-0.281973905723906</v>
      </c>
      <c r="I52" s="56"/>
      <c r="J52" s="57">
        <f t="shared" si="3"/>
        <v>0</v>
      </c>
      <c r="K52"/>
    </row>
    <row r="53" s="26" customFormat="1" spans="1:11">
      <c r="A53" s="53">
        <v>25</v>
      </c>
      <c r="B53" s="21" t="str">
        <f>Pedidos!B31</f>
        <v>Ugel</v>
      </c>
      <c r="C53" s="23">
        <f>(Pedidos!C31)</f>
        <v>0</v>
      </c>
      <c r="D53" s="58">
        <f t="shared" si="10"/>
        <v>0</v>
      </c>
      <c r="E53" s="60">
        <f>(C53*D23)</f>
        <v>0</v>
      </c>
      <c r="F53" s="59">
        <f t="shared" ref="F53:F55" si="13">IF(D53=0,0,E53/D53)</f>
        <v>0</v>
      </c>
      <c r="G53" s="59"/>
      <c r="H53" s="59">
        <f>(F53-H9)</f>
        <v>-0.281973905723906</v>
      </c>
      <c r="I53" s="59"/>
      <c r="J53" s="60">
        <f t="shared" si="3"/>
        <v>0</v>
      </c>
      <c r="K53"/>
    </row>
    <row r="54" spans="1:11">
      <c r="A54" s="53">
        <v>26</v>
      </c>
      <c r="B54" s="21"/>
      <c r="C54" s="23">
        <f>(Pedidos!C32)</f>
        <v>0</v>
      </c>
      <c r="D54" s="21">
        <f t="shared" si="10"/>
        <v>0</v>
      </c>
      <c r="E54" s="57">
        <f>(C54*D23)</f>
        <v>0</v>
      </c>
      <c r="F54" s="56">
        <f t="shared" si="13"/>
        <v>0</v>
      </c>
      <c r="G54" s="56"/>
      <c r="H54" s="56">
        <f>(F54-H9)</f>
        <v>-0.281973905723906</v>
      </c>
      <c r="I54" s="56"/>
      <c r="J54" s="57">
        <f t="shared" si="3"/>
        <v>0</v>
      </c>
    </row>
    <row r="55" s="26" customFormat="1" spans="1:11">
      <c r="A55" s="53">
        <v>27</v>
      </c>
      <c r="B55" s="58"/>
      <c r="C55" s="23">
        <f>(Pedidos!C33)</f>
        <v>0</v>
      </c>
      <c r="D55" s="58">
        <f t="shared" si="10"/>
        <v>0</v>
      </c>
      <c r="E55" s="60">
        <f>(C55*D23)</f>
        <v>0</v>
      </c>
      <c r="F55" s="59">
        <f t="shared" si="13"/>
        <v>0</v>
      </c>
      <c r="G55" s="59"/>
      <c r="H55" s="59">
        <f>(F55-H9)</f>
        <v>-0.281973905723906</v>
      </c>
      <c r="I55" s="59"/>
      <c r="J55" s="60">
        <f t="shared" si="3"/>
        <v>0</v>
      </c>
      <c r="K55"/>
    </row>
    <row r="56" s="26" customFormat="1" spans="1:11">
      <c r="A56" s="53">
        <v>28</v>
      </c>
      <c r="B56" s="58"/>
      <c r="C56" s="23">
        <f>(Pedidos!C34)</f>
        <v>0</v>
      </c>
      <c r="D56" s="58">
        <f t="shared" ref="D56:D60" si="14">(C56*12)</f>
        <v>0</v>
      </c>
      <c r="E56" s="60">
        <f>(C56*D23)</f>
        <v>0</v>
      </c>
      <c r="F56" s="59">
        <f t="shared" ref="F56:F59" si="15">IF(D56=0,0,E56/D56)</f>
        <v>0</v>
      </c>
      <c r="G56" s="59"/>
      <c r="H56" s="59">
        <f>(F56-H9)</f>
        <v>-0.281973905723906</v>
      </c>
      <c r="I56" s="59"/>
      <c r="J56" s="60">
        <f t="shared" ref="J56:J59" si="16">(D56*H56)</f>
        <v>0</v>
      </c>
      <c r="K56"/>
    </row>
    <row r="57" s="26" customFormat="1" spans="1:11">
      <c r="A57" s="53">
        <v>29</v>
      </c>
      <c r="B57" s="58"/>
      <c r="C57" s="23">
        <f>(Pedidos!C35)</f>
        <v>0</v>
      </c>
      <c r="D57" s="58">
        <f t="shared" si="14"/>
        <v>0</v>
      </c>
      <c r="E57" s="60">
        <f>(C57*D23)</f>
        <v>0</v>
      </c>
      <c r="F57" s="59">
        <f t="shared" si="15"/>
        <v>0</v>
      </c>
      <c r="G57" s="59"/>
      <c r="H57" s="59">
        <f>(F57-H9)</f>
        <v>-0.281973905723906</v>
      </c>
      <c r="I57" s="59"/>
      <c r="J57" s="60">
        <f t="shared" si="16"/>
        <v>0</v>
      </c>
      <c r="K57"/>
    </row>
    <row r="58" s="26" customFormat="1" spans="1:11">
      <c r="A58" s="53"/>
      <c r="B58" s="58"/>
      <c r="C58" s="23">
        <f>(Pedidos!C36)</f>
        <v>0</v>
      </c>
      <c r="D58" s="58">
        <f t="shared" si="14"/>
        <v>0</v>
      </c>
      <c r="E58" s="60">
        <f>(C58*D23)</f>
        <v>0</v>
      </c>
      <c r="F58" s="59">
        <f t="shared" si="15"/>
        <v>0</v>
      </c>
      <c r="G58" s="59"/>
      <c r="H58" s="59">
        <f>(F58-H9)</f>
        <v>-0.281973905723906</v>
      </c>
      <c r="I58" s="59"/>
      <c r="J58" s="60">
        <f t="shared" si="16"/>
        <v>0</v>
      </c>
      <c r="K58"/>
    </row>
    <row r="59" s="26" customFormat="1" spans="1:11">
      <c r="A59" s="53"/>
      <c r="B59" s="58"/>
      <c r="C59" s="23">
        <f>(Pedidos!C37)</f>
        <v>0</v>
      </c>
      <c r="D59" s="58">
        <f t="shared" si="14"/>
        <v>0</v>
      </c>
      <c r="E59" s="60">
        <f>(C59*D23)</f>
        <v>0</v>
      </c>
      <c r="F59" s="59">
        <f t="shared" si="15"/>
        <v>0</v>
      </c>
      <c r="G59" s="59"/>
      <c r="H59" s="59">
        <f>(F59-H9)</f>
        <v>-0.281973905723906</v>
      </c>
      <c r="I59" s="59"/>
      <c r="J59" s="60">
        <f t="shared" si="16"/>
        <v>0</v>
      </c>
      <c r="K59"/>
    </row>
    <row r="60" ht="15.15" spans="1:11">
      <c r="A60" s="68"/>
      <c r="B60" s="21" t="s">
        <v>24</v>
      </c>
      <c r="C60" s="23">
        <f>(Pedidos!C38)</f>
        <v>0</v>
      </c>
      <c r="D60" s="21">
        <f t="shared" si="14"/>
        <v>0</v>
      </c>
      <c r="E60" s="57">
        <f>(C60*D23)</f>
        <v>0</v>
      </c>
      <c r="F60" s="56">
        <f t="shared" si="4"/>
        <v>0</v>
      </c>
      <c r="G60" s="56"/>
      <c r="H60" s="56">
        <f>(F60-H9)</f>
        <v>-0.281973905723906</v>
      </c>
      <c r="I60" s="56"/>
      <c r="J60" s="66">
        <f t="shared" si="3"/>
        <v>0</v>
      </c>
    </row>
    <row r="61" ht="15.15" spans="1:11">
      <c r="C61" t="s">
        <v>40</v>
      </c>
      <c r="E61" s="5">
        <f>SUM(E28:E60)</f>
        <v>91.5</v>
      </c>
      <c r="J61" s="69">
        <f>SUM(J28:J60)</f>
        <v>30.5936363636364</v>
      </c>
    </row>
    <row r="62" ht="15.15" spans="1:11">
      <c r="C62">
        <f>SUM(C28:C60)</f>
        <v>18</v>
      </c>
      <c r="D62" s="70" t="s">
        <v>41</v>
      </c>
      <c r="E62" s="71"/>
      <c r="H62" s="72" t="s">
        <v>26</v>
      </c>
      <c r="I62" s="73"/>
    </row>
    <row r="63" ht="15.15" spans="1:11">
      <c r="D63" s="74">
        <f>SUM(D28:D60)</f>
        <v>216</v>
      </c>
      <c r="E63" s="75"/>
      <c r="H63" s="76">
        <f>(D63/12)</f>
        <v>18</v>
      </c>
      <c r="I63" s="77"/>
    </row>
    <row r="64" ht="15.15"/>
    <row r="65" ht="15.15" spans="2:9">
      <c r="B65" s="78"/>
      <c r="C65" s="79" t="s">
        <v>1</v>
      </c>
      <c r="D65" s="79" t="s">
        <v>2</v>
      </c>
      <c r="E65" s="79" t="s">
        <v>3</v>
      </c>
      <c r="H65" s="80" t="s">
        <v>42</v>
      </c>
      <c r="I65" s="81"/>
    </row>
    <row r="66" ht="15.15" spans="2:9">
      <c r="B66" s="82" t="s">
        <v>5</v>
      </c>
      <c r="C66" s="63">
        <f>(H66/66)</f>
        <v>1</v>
      </c>
      <c r="D66" s="63">
        <v>2</v>
      </c>
      <c r="E66" s="4">
        <f>(C66*D66)</f>
        <v>2</v>
      </c>
      <c r="H66" s="83">
        <v>66</v>
      </c>
      <c r="I66" s="84"/>
    </row>
    <row r="67" ht="15.15" spans="2:9">
      <c r="B67" s="82" t="s">
        <v>6</v>
      </c>
      <c r="C67" s="4">
        <f>(C66*0.4)</f>
        <v>0.4</v>
      </c>
      <c r="D67" s="63">
        <v>6</v>
      </c>
      <c r="E67" s="4">
        <f>(C67*D67)</f>
        <v>2.4</v>
      </c>
      <c r="H67" s="70" t="s">
        <v>43</v>
      </c>
      <c r="I67" s="71"/>
    </row>
    <row r="68" ht="15.15" spans="2:9">
      <c r="B68" s="82" t="s">
        <v>9</v>
      </c>
      <c r="C68" s="4">
        <f>(C66*0.25)</f>
        <v>0.25</v>
      </c>
      <c r="D68" s="63">
        <v>2.4</v>
      </c>
      <c r="E68" s="4">
        <f t="shared" ref="E68:E76" si="17">(C68*D68)</f>
        <v>0.6</v>
      </c>
      <c r="H68" s="72">
        <f>(H66-D63)</f>
        <v>-150</v>
      </c>
      <c r="I68" s="73"/>
    </row>
    <row r="69" ht="15.15" spans="2:9">
      <c r="B69" s="82" t="s">
        <v>10</v>
      </c>
      <c r="C69" s="4">
        <f>(C66*0.02)</f>
        <v>0.02</v>
      </c>
      <c r="D69" s="63">
        <v>0.5</v>
      </c>
      <c r="E69" s="4">
        <f t="shared" si="17"/>
        <v>0.01</v>
      </c>
      <c r="H69" s="70" t="s">
        <v>44</v>
      </c>
      <c r="I69" s="71"/>
    </row>
    <row r="70" ht="15.15" spans="2:9">
      <c r="B70" s="82" t="s">
        <v>32</v>
      </c>
      <c r="C70" s="4">
        <f>(C66*0.8)</f>
        <v>0.8</v>
      </c>
      <c r="D70" s="63">
        <v>1</v>
      </c>
      <c r="E70" s="4">
        <f t="shared" si="17"/>
        <v>0.8</v>
      </c>
      <c r="H70" s="85">
        <f>(E77-E18)</f>
        <v>-49.2563636363636</v>
      </c>
      <c r="I70" s="86"/>
    </row>
    <row r="71" ht="15.15" spans="2:9">
      <c r="B71" s="82" t="s">
        <v>33</v>
      </c>
      <c r="C71" s="4">
        <v>0</v>
      </c>
      <c r="D71" s="63">
        <v>2</v>
      </c>
      <c r="E71" s="4">
        <f t="shared" si="17"/>
        <v>0</v>
      </c>
      <c r="H71" s="70" t="s">
        <v>45</v>
      </c>
      <c r="I71" s="71"/>
    </row>
    <row r="72" ht="15.15" spans="2:9">
      <c r="B72" s="82" t="s">
        <v>34</v>
      </c>
      <c r="C72" s="4">
        <f>(C66*0.36)</f>
        <v>0.36</v>
      </c>
      <c r="D72" s="63">
        <v>7</v>
      </c>
      <c r="E72" s="4">
        <f t="shared" si="17"/>
        <v>2.52</v>
      </c>
      <c r="H72" s="87">
        <f>(D63/40)</f>
        <v>5.4</v>
      </c>
      <c r="I72" s="88"/>
    </row>
    <row r="73" spans="2:9">
      <c r="B73" s="82" t="s">
        <v>35</v>
      </c>
      <c r="C73" s="4">
        <f>(C66*0.17)</f>
        <v>0.17</v>
      </c>
      <c r="D73" s="63">
        <v>1</v>
      </c>
      <c r="E73" s="4">
        <f t="shared" si="17"/>
        <v>0.17</v>
      </c>
    </row>
    <row r="74" spans="2:9">
      <c r="B74" s="82" t="s">
        <v>11</v>
      </c>
      <c r="C74" s="4">
        <f>(C66*0.5)</f>
        <v>0.5</v>
      </c>
      <c r="D74" s="63">
        <v>0.3</v>
      </c>
      <c r="E74" s="4">
        <f t="shared" si="17"/>
        <v>0.15</v>
      </c>
    </row>
    <row r="75" spans="2:9">
      <c r="B75" s="82" t="s">
        <v>12</v>
      </c>
      <c r="C75" s="4">
        <v>3</v>
      </c>
      <c r="D75" s="63">
        <v>1</v>
      </c>
      <c r="E75" s="4">
        <f t="shared" si="17"/>
        <v>3</v>
      </c>
    </row>
    <row r="76" ht="15.15" spans="2:9">
      <c r="B76" s="82" t="s">
        <v>13</v>
      </c>
      <c r="C76" s="4">
        <v>1</v>
      </c>
      <c r="D76" s="63">
        <v>0</v>
      </c>
      <c r="E76" s="89">
        <f t="shared" si="17"/>
        <v>0</v>
      </c>
    </row>
    <row r="77" ht="15.15" spans="2:9">
      <c r="B77" s="78"/>
      <c r="C77" s="78"/>
      <c r="D77" s="78"/>
      <c r="E77" s="90">
        <f>SUM(E66:E76)</f>
        <v>11.65</v>
      </c>
    </row>
  </sheetData>
  <mergeCells count="96">
    <mergeCell ref="H5:I5"/>
    <mergeCell ref="H6:I6"/>
    <mergeCell ref="H7:I7"/>
    <mergeCell ref="H8:I8"/>
    <mergeCell ref="H9:I9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D62:E62"/>
    <mergeCell ref="H62:I62"/>
    <mergeCell ref="D63:E63"/>
    <mergeCell ref="H63:I63"/>
    <mergeCell ref="H65:I65"/>
    <mergeCell ref="H66:I66"/>
    <mergeCell ref="H67:I67"/>
    <mergeCell ref="H68:I68"/>
    <mergeCell ref="H69:I69"/>
    <mergeCell ref="H70:I70"/>
    <mergeCell ref="H71:I71"/>
    <mergeCell ref="H72:I72"/>
    <mergeCell ref="E2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3"/>
  <sheetViews>
    <sheetView workbookViewId="0">
      <selection activeCell="E26" sqref="E26"/>
    </sheetView>
  </sheetViews>
  <sheetFormatPr defaultColWidth="11" defaultRowHeight="14.4"/>
  <sheetData>
    <row r="2" spans="2:10">
      <c r="E2" s="25" t="s">
        <v>27</v>
      </c>
      <c r="F2" s="25"/>
      <c r="G2" s="25"/>
    </row>
    <row r="3" spans="2:10">
      <c r="E3" s="25"/>
      <c r="F3" s="25"/>
      <c r="G3" s="25"/>
    </row>
    <row r="4" ht="15.15" spans="2:10">
      <c r="F4" s="8"/>
      <c r="G4" s="8"/>
    </row>
    <row r="5" spans="2:10">
      <c r="B5" s="26"/>
      <c r="C5" s="27" t="s">
        <v>1</v>
      </c>
      <c r="D5" s="27" t="s">
        <v>2</v>
      </c>
      <c r="E5" s="27" t="s">
        <v>3</v>
      </c>
      <c r="H5" s="28" t="s">
        <v>28</v>
      </c>
      <c r="I5" s="29"/>
      <c r="J5" t="s">
        <v>29</v>
      </c>
    </row>
    <row r="6" ht="15.15" spans="2:10">
      <c r="B6" s="3" t="s">
        <v>5</v>
      </c>
      <c r="C6" s="30">
        <f>(H7/40)</f>
        <v>0</v>
      </c>
      <c r="D6" s="30">
        <f>('Empa peq'!D6)</f>
        <v>2</v>
      </c>
      <c r="E6" s="30">
        <f>(C6*D6)</f>
        <v>0</v>
      </c>
      <c r="H6" s="31" t="s">
        <v>30</v>
      </c>
      <c r="I6" s="32"/>
    </row>
    <row r="7" ht="15.15" spans="2:10">
      <c r="B7" s="3" t="s">
        <v>6</v>
      </c>
      <c r="C7" s="30">
        <f>(C6*0.4)</f>
        <v>0</v>
      </c>
      <c r="D7" s="30">
        <f>('Empa peq'!D7)</f>
        <v>6.2</v>
      </c>
      <c r="E7" s="30">
        <f>(C7*D7)</f>
        <v>0</v>
      </c>
      <c r="H7" s="33">
        <f>(D31)</f>
        <v>0</v>
      </c>
      <c r="I7" s="34"/>
    </row>
    <row r="8" ht="15.15" spans="2:10">
      <c r="B8" s="3" t="s">
        <v>9</v>
      </c>
      <c r="C8" s="30">
        <f>(C6*0.25)</f>
        <v>0</v>
      </c>
      <c r="D8" s="30">
        <f>('Empa peq'!D8)</f>
        <v>2.5</v>
      </c>
      <c r="E8" s="30">
        <f t="shared" ref="E8:E14" si="0">(C8*D8)</f>
        <v>0</v>
      </c>
      <c r="H8" s="35" t="s">
        <v>31</v>
      </c>
      <c r="I8" s="36"/>
    </row>
    <row r="9" ht="15.15" spans="2:10">
      <c r="B9" s="3" t="s">
        <v>10</v>
      </c>
      <c r="C9" s="30">
        <f>(C6*0.02)</f>
        <v>0</v>
      </c>
      <c r="D9" s="30">
        <f>('Empa peq'!D9)</f>
        <v>0.5</v>
      </c>
      <c r="E9" s="30">
        <f t="shared" si="0"/>
        <v>0</v>
      </c>
      <c r="H9" s="37" t="e">
        <f>(E18/H7)</f>
        <v>#DIV/0!</v>
      </c>
      <c r="I9" s="38"/>
    </row>
    <row r="10" spans="2:10">
      <c r="B10" s="3" t="s">
        <v>32</v>
      </c>
      <c r="C10" s="30">
        <f>(C6*0.75)</f>
        <v>0</v>
      </c>
      <c r="D10" s="30">
        <f>('Empa peq'!D10)</f>
        <v>1.5</v>
      </c>
      <c r="E10" s="30">
        <f t="shared" si="0"/>
        <v>0</v>
      </c>
    </row>
    <row r="11" spans="2:10">
      <c r="B11" s="3" t="s">
        <v>33</v>
      </c>
      <c r="C11" s="30">
        <f>C6*0.5</f>
        <v>0</v>
      </c>
      <c r="D11" s="30">
        <f>('Empa peq'!D11)</f>
        <v>7</v>
      </c>
      <c r="E11" s="30">
        <f t="shared" si="0"/>
        <v>0</v>
      </c>
    </row>
    <row r="12" spans="2:10">
      <c r="B12" s="3" t="s">
        <v>34</v>
      </c>
      <c r="C12" s="30">
        <f>(C6*0.5)</f>
        <v>0</v>
      </c>
      <c r="D12" s="30">
        <f>('Empa peq'!D12)</f>
        <v>0</v>
      </c>
      <c r="E12" s="30">
        <f t="shared" si="0"/>
        <v>0</v>
      </c>
    </row>
    <row r="13" spans="2:10">
      <c r="B13" s="3" t="s">
        <v>35</v>
      </c>
      <c r="C13" s="30">
        <f>(C6*0.5)</f>
        <v>0</v>
      </c>
      <c r="D13" s="30">
        <f>('Empa peq'!D13)</f>
        <v>0.5</v>
      </c>
      <c r="E13" s="30">
        <f t="shared" si="0"/>
        <v>0</v>
      </c>
    </row>
    <row r="14" spans="2:10">
      <c r="B14" s="3" t="s">
        <v>11</v>
      </c>
      <c r="C14" s="30">
        <v>1</v>
      </c>
      <c r="D14" s="30">
        <f>('Empa peq'!D14)</f>
        <v>0.3</v>
      </c>
      <c r="E14" s="30">
        <f t="shared" si="0"/>
        <v>0.3</v>
      </c>
    </row>
    <row r="15" spans="2:10">
      <c r="B15" s="3" t="s">
        <v>36</v>
      </c>
      <c r="C15" s="30"/>
      <c r="D15" s="3">
        <f>('Empa peq'!D15)</f>
        <v>0</v>
      </c>
      <c r="E15" s="30"/>
    </row>
    <row r="16" spans="2:10">
      <c r="B16" s="3" t="s">
        <v>12</v>
      </c>
      <c r="C16" s="30">
        <v>1</v>
      </c>
      <c r="D16" s="30">
        <f>('Empa peq'!D16)</f>
        <v>2.5</v>
      </c>
      <c r="E16" s="30">
        <f>(C16*D16)</f>
        <v>2.5</v>
      </c>
    </row>
    <row r="17" ht="15.15" spans="1:10">
      <c r="B17" s="3" t="s">
        <v>13</v>
      </c>
      <c r="C17" s="30">
        <v>1</v>
      </c>
      <c r="D17" s="39">
        <f>('Empa peq'!D17)</f>
        <v>7</v>
      </c>
      <c r="E17" s="30"/>
    </row>
    <row r="18" ht="15.15" spans="1:10">
      <c r="E18" s="40">
        <f>SUM(E6:E17)</f>
        <v>2.8</v>
      </c>
    </row>
    <row r="21" spans="1:10">
      <c r="E21" s="41" t="s">
        <v>14</v>
      </c>
      <c r="F21" s="42" t="s">
        <v>15</v>
      </c>
      <c r="G21" s="42"/>
      <c r="I21" s="43" t="s">
        <v>16</v>
      </c>
      <c r="J21" s="43"/>
    </row>
    <row r="22" customFormat="1" spans="1:10">
      <c r="B22" s="8" t="s">
        <v>17</v>
      </c>
      <c r="D22" s="5">
        <v>8</v>
      </c>
      <c r="E22" s="41">
        <v>14</v>
      </c>
      <c r="F22" s="42"/>
      <c r="G22" s="42"/>
      <c r="I22" s="43"/>
      <c r="J22" s="43"/>
    </row>
    <row r="23" spans="1:10">
      <c r="B23" s="8" t="s">
        <v>17</v>
      </c>
      <c r="D23" s="5">
        <v>9</v>
      </c>
      <c r="E23">
        <v>12</v>
      </c>
      <c r="F23" s="44">
        <f>(D23/E23)</f>
        <v>0.75</v>
      </c>
      <c r="G23" s="44"/>
      <c r="I23" s="44" t="e">
        <f>(F23-H9)</f>
        <v>#DIV/0!</v>
      </c>
      <c r="J23" s="44"/>
    </row>
    <row r="24" ht="15.15" spans="1:10">
      <c r="B24" s="45"/>
      <c r="C24" s="45"/>
      <c r="D24" s="5"/>
      <c r="F24" s="44"/>
      <c r="G24" s="44"/>
      <c r="I24" s="44"/>
      <c r="J24" s="44"/>
    </row>
    <row r="25" ht="15.15" spans="1:10">
      <c r="A25" s="8" t="s">
        <v>38</v>
      </c>
      <c r="B25" s="46" t="s">
        <v>19</v>
      </c>
      <c r="C25" s="46" t="s">
        <v>20</v>
      </c>
      <c r="D25" s="47" t="s">
        <v>21</v>
      </c>
      <c r="E25" s="47" t="s">
        <v>17</v>
      </c>
      <c r="F25" s="48" t="s">
        <v>22</v>
      </c>
      <c r="G25" s="49"/>
      <c r="H25" s="50" t="s">
        <v>16</v>
      </c>
      <c r="I25" s="51"/>
      <c r="J25" s="52" t="s">
        <v>23</v>
      </c>
    </row>
    <row r="26" spans="1:10">
      <c r="A26" s="53">
        <v>1</v>
      </c>
      <c r="B26" s="23" t="s">
        <v>46</v>
      </c>
      <c r="C26" s="23">
        <f>(Pedidos!E15)</f>
        <v>0</v>
      </c>
      <c r="D26" s="23">
        <f>C26*E23</f>
        <v>0</v>
      </c>
      <c r="E26" s="54">
        <f>C26*D23</f>
        <v>0</v>
      </c>
      <c r="F26" s="55">
        <f t="shared" ref="F26:F28" si="1">IF(D26=0,0,E26/D26)</f>
        <v>0</v>
      </c>
      <c r="G26" s="55"/>
      <c r="H26" s="55" t="e">
        <f>(F26-H9)</f>
        <v>#DIV/0!</v>
      </c>
      <c r="I26" s="55"/>
      <c r="J26" s="54" t="e">
        <f>(D26*H26)</f>
        <v>#DIV/0!</v>
      </c>
    </row>
    <row r="27" spans="1:10">
      <c r="A27" s="16">
        <v>2</v>
      </c>
      <c r="B27" s="21" t="s">
        <v>47</v>
      </c>
      <c r="C27" s="23">
        <f>(Pedidos!E16)</f>
        <v>0</v>
      </c>
      <c r="D27" s="23">
        <f>C27*E22</f>
        <v>0</v>
      </c>
      <c r="E27" s="54">
        <f>C27*D22</f>
        <v>0</v>
      </c>
      <c r="F27" s="56">
        <f t="shared" si="1"/>
        <v>0</v>
      </c>
      <c r="G27" s="56"/>
      <c r="H27" s="56" t="e">
        <f>(F27-H9)</f>
        <v>#DIV/0!</v>
      </c>
      <c r="I27" s="56"/>
      <c r="J27" s="57" t="e">
        <f t="shared" ref="J27:J30" si="2">(D27*H27)</f>
        <v>#DIV/0!</v>
      </c>
    </row>
    <row r="28" spans="1:10">
      <c r="A28" s="53">
        <v>3</v>
      </c>
      <c r="B28" s="58" t="s">
        <v>48</v>
      </c>
      <c r="C28" s="23">
        <f>(Pedidos!E17)</f>
        <v>0</v>
      </c>
      <c r="D28" s="23">
        <f>C28*E23</f>
        <v>0</v>
      </c>
      <c r="E28" s="54">
        <f>C28*D23</f>
        <v>0</v>
      </c>
      <c r="F28" s="59">
        <f t="shared" si="1"/>
        <v>0</v>
      </c>
      <c r="G28" s="59"/>
      <c r="H28" s="59" t="e">
        <f>(F28-H9)</f>
        <v>#DIV/0!</v>
      </c>
      <c r="I28" s="59"/>
      <c r="J28" s="60" t="e">
        <f t="shared" si="2"/>
        <v>#DIV/0!</v>
      </c>
    </row>
    <row r="29" spans="1:10">
      <c r="B29" t="s">
        <v>49</v>
      </c>
      <c r="C29" s="23">
        <f>(Pedidos!E18)</f>
        <v>0</v>
      </c>
      <c r="D29" s="23">
        <f>C29*E23</f>
        <v>0</v>
      </c>
      <c r="E29" s="5">
        <f>C29*D23</f>
        <v>0</v>
      </c>
      <c r="F29" s="59">
        <f t="shared" ref="F29:F30" si="3">IF(D29=0,0,E29/D29)</f>
        <v>0</v>
      </c>
      <c r="G29" s="59"/>
      <c r="H29" s="59" t="e">
        <f>(F29-H9)</f>
        <v>#DIV/0!</v>
      </c>
      <c r="I29" s="59"/>
      <c r="J29" s="60" t="e">
        <f t="shared" si="2"/>
        <v>#DIV/0!</v>
      </c>
    </row>
    <row r="30" customFormat="1" spans="1:10">
      <c r="B30" t="s">
        <v>50</v>
      </c>
      <c r="C30" s="61">
        <f>Pedidos!E19</f>
        <v>0</v>
      </c>
      <c r="D30" s="61">
        <f>C30*E23</f>
        <v>0</v>
      </c>
      <c r="E30" s="5">
        <f>C30*D23</f>
        <v>0</v>
      </c>
      <c r="F30" s="59">
        <f t="shared" si="3"/>
        <v>0</v>
      </c>
      <c r="G30" s="59"/>
      <c r="H30" s="59" t="e">
        <f>(F30-H9)</f>
        <v>#DIV/0!</v>
      </c>
      <c r="I30" s="59"/>
      <c r="J30" s="60" t="e">
        <f t="shared" si="2"/>
        <v>#DIV/0!</v>
      </c>
    </row>
    <row r="31" spans="1:10">
      <c r="D31">
        <f>SUM(D26:D30)</f>
        <v>0</v>
      </c>
      <c r="J31" s="62" t="e">
        <f>SUM(J26:J29)</f>
        <v>#DIV/0!</v>
      </c>
    </row>
    <row r="33" spans="2:3">
      <c r="B33" t="s">
        <v>51</v>
      </c>
      <c r="C33">
        <f>D31/24</f>
        <v>0</v>
      </c>
    </row>
  </sheetData>
  <mergeCells count="22">
    <mergeCell ref="H5:I5"/>
    <mergeCell ref="H6:I6"/>
    <mergeCell ref="H7:I7"/>
    <mergeCell ref="H8:I8"/>
    <mergeCell ref="H9:I9"/>
    <mergeCell ref="F21:G21"/>
    <mergeCell ref="I21:J21"/>
    <mergeCell ref="F23:G23"/>
    <mergeCell ref="I23:J23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E2:G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0"/>
  <sheetViews>
    <sheetView workbookViewId="0">
      <selection activeCell="C14" sqref="C14"/>
    </sheetView>
  </sheetViews>
  <sheetFormatPr defaultColWidth="11" defaultRowHeight="14.4" outlineLevelCol="5"/>
  <cols>
    <col min="1" max="1" width="3.28703703703704" customWidth="1"/>
    <col min="2" max="2" width="16.1388888888889" customWidth="1"/>
    <col min="3" max="3" width="14.5740740740741" customWidth="1"/>
    <col min="4" max="4" width="12.4259259259259" customWidth="1"/>
    <col min="5" max="5" width="12.4259259259259" customWidth="1"/>
    <col min="6" max="6" width="14.4259259259259" customWidth="1"/>
  </cols>
  <sheetData>
    <row r="3" ht="15.15" spans="1:6">
      <c r="E3" s="6" t="s">
        <v>52</v>
      </c>
    </row>
    <row r="4" ht="15.75" customHeight="1" spans="1:6">
      <c r="C4" s="7" t="s">
        <v>53</v>
      </c>
      <c r="E4" s="7" t="s">
        <v>54</v>
      </c>
    </row>
    <row r="5" spans="1:6">
      <c r="A5" s="8" t="s">
        <v>38</v>
      </c>
      <c r="B5" s="9" t="s">
        <v>19</v>
      </c>
      <c r="C5" s="10"/>
      <c r="D5" s="11" t="s">
        <v>55</v>
      </c>
      <c r="E5" s="10"/>
      <c r="F5" s="12" t="s">
        <v>56</v>
      </c>
    </row>
    <row r="6" spans="1:6">
      <c r="A6" s="8">
        <v>1</v>
      </c>
      <c r="B6" s="13" t="s">
        <v>57</v>
      </c>
      <c r="C6" s="14">
        <v>1</v>
      </c>
      <c r="D6" s="14"/>
      <c r="E6" s="14">
        <v>0</v>
      </c>
      <c r="F6" s="15">
        <f>('Empa peq'!E28+'Hot Dog'!E22)</f>
        <v>4.5</v>
      </c>
    </row>
    <row r="7" spans="1:6">
      <c r="A7" s="16">
        <v>2</v>
      </c>
      <c r="B7" s="17" t="s">
        <v>58</v>
      </c>
      <c r="C7" s="18">
        <v>2</v>
      </c>
      <c r="D7" s="18">
        <v>0</v>
      </c>
      <c r="E7" s="18">
        <v>0</v>
      </c>
      <c r="F7" s="19">
        <f>('Empa peq'!E29+'Hot Dog'!E23)</f>
        <v>11</v>
      </c>
    </row>
    <row r="8" spans="1:6">
      <c r="A8" s="8">
        <v>3</v>
      </c>
      <c r="B8" s="20" t="s">
        <v>59</v>
      </c>
      <c r="C8" s="14">
        <v>4</v>
      </c>
      <c r="D8" s="14">
        <v>0</v>
      </c>
      <c r="E8" s="14">
        <v>0</v>
      </c>
      <c r="F8" s="15">
        <f>('Empa peq'!E30+'Hot Dog'!E24)</f>
        <v>20</v>
      </c>
    </row>
    <row r="9" spans="1:6">
      <c r="A9" s="16">
        <v>4</v>
      </c>
      <c r="B9" s="21" t="s">
        <v>39</v>
      </c>
      <c r="C9" s="18">
        <v>2</v>
      </c>
      <c r="D9" s="18">
        <v>0</v>
      </c>
      <c r="E9" s="18">
        <v>0</v>
      </c>
      <c r="F9" s="19">
        <f>('Empa peq'!E31+'Hot Dog'!E25)</f>
        <v>10</v>
      </c>
    </row>
    <row r="10" spans="1:6">
      <c r="A10" s="8">
        <v>5</v>
      </c>
      <c r="B10" s="13" t="s">
        <v>60</v>
      </c>
      <c r="C10" s="14"/>
      <c r="D10" s="14"/>
      <c r="E10" s="14"/>
      <c r="F10" s="15">
        <f>('Empa peq'!E32+'Hot Dog'!E26)</f>
        <v>0</v>
      </c>
    </row>
    <row r="11" spans="1:6">
      <c r="A11" s="16">
        <v>6</v>
      </c>
      <c r="B11" s="22" t="s">
        <v>61</v>
      </c>
      <c r="C11" s="18">
        <v>2</v>
      </c>
      <c r="D11" s="18"/>
      <c r="E11" s="18"/>
      <c r="F11" s="19">
        <f>('Empa peq'!E33+'Hot Dog'!E27)</f>
        <v>11</v>
      </c>
    </row>
    <row r="12" spans="1:6">
      <c r="A12" s="8">
        <v>7</v>
      </c>
      <c r="B12" s="20" t="s">
        <v>62</v>
      </c>
      <c r="C12" s="14">
        <v>3</v>
      </c>
      <c r="D12" s="14"/>
      <c r="E12" s="14"/>
      <c r="F12" s="15">
        <f>('Empa peq'!E34+'Hot Dog'!E28)</f>
        <v>15</v>
      </c>
    </row>
    <row r="13" spans="1:6">
      <c r="A13" s="16">
        <v>8</v>
      </c>
      <c r="B13" s="21" t="s">
        <v>63</v>
      </c>
      <c r="C13" s="18">
        <v>2</v>
      </c>
      <c r="D13" s="18"/>
      <c r="E13" s="18"/>
      <c r="F13" s="19">
        <f>('Empa peq'!E35+'Hot Dog'!E29)</f>
        <v>10</v>
      </c>
    </row>
    <row r="14" spans="1:6">
      <c r="A14" s="8">
        <v>9</v>
      </c>
      <c r="B14" s="20" t="s">
        <v>64</v>
      </c>
      <c r="C14" s="14">
        <v>2</v>
      </c>
      <c r="D14" s="14"/>
      <c r="E14" s="14"/>
      <c r="F14" s="15">
        <f>('Empa peq'!E36+'Hot Dog'!E30)</f>
        <v>10</v>
      </c>
    </row>
    <row r="15" spans="1:6">
      <c r="A15" s="8">
        <v>10</v>
      </c>
      <c r="B15" s="21" t="s">
        <v>65</v>
      </c>
      <c r="C15" s="18"/>
      <c r="D15" s="18"/>
      <c r="E15" s="18"/>
      <c r="F15" s="19">
        <f>('Empa peq'!E37+'Hot Dog'!E31+'Empa gran'!E26)</f>
        <v>0</v>
      </c>
    </row>
    <row r="16" spans="1:6">
      <c r="A16" s="16">
        <v>11</v>
      </c>
      <c r="B16" s="20" t="s">
        <v>47</v>
      </c>
      <c r="C16" s="14"/>
      <c r="D16" s="14"/>
      <c r="E16" s="14"/>
      <c r="F16" s="15">
        <f>('Empa peq'!E38+'Hot Dog'!E32+'Empa gran'!E27)</f>
        <v>0</v>
      </c>
    </row>
    <row r="17" spans="1:6">
      <c r="A17" s="8">
        <v>12</v>
      </c>
      <c r="B17" s="21" t="s">
        <v>66</v>
      </c>
      <c r="C17" s="18"/>
      <c r="D17" s="18"/>
      <c r="E17" s="18"/>
      <c r="F17" s="19">
        <f>('Empa peq'!E39+'Hot Dog'!E33+'Empa gran'!E28)</f>
        <v>0</v>
      </c>
    </row>
    <row r="18" spans="1:6">
      <c r="A18" s="16">
        <v>13</v>
      </c>
      <c r="B18" s="20" t="s">
        <v>49</v>
      </c>
      <c r="C18" s="14"/>
      <c r="D18" s="14"/>
      <c r="E18" s="14"/>
      <c r="F18" s="15">
        <f>('Empa peq'!E40+'Hot Dog'!E34+'Empa gran'!E29)</f>
        <v>0</v>
      </c>
    </row>
    <row r="19" customFormat="1" spans="1:6">
      <c r="A19" s="16"/>
      <c r="B19" s="20" t="s">
        <v>50</v>
      </c>
      <c r="C19" s="14"/>
      <c r="D19" s="14"/>
      <c r="E19" s="14"/>
      <c r="F19" s="15">
        <f>'Hot Dog'!E35+'Empa peq'!E41+'Empa gran'!E30</f>
        <v>0</v>
      </c>
    </row>
    <row r="20" spans="1:6">
      <c r="A20" s="8">
        <v>14</v>
      </c>
      <c r="B20" s="21" t="s">
        <v>67</v>
      </c>
      <c r="C20" s="18"/>
      <c r="D20" s="18"/>
      <c r="E20" s="18"/>
      <c r="F20" s="19">
        <f>('Empa peq'!E42+'Hot Dog'!E36)</f>
        <v>0</v>
      </c>
    </row>
    <row r="21" spans="1:6">
      <c r="A21" s="16">
        <v>15</v>
      </c>
      <c r="B21" s="20" t="s">
        <v>68</v>
      </c>
      <c r="C21" s="14"/>
      <c r="D21" s="14"/>
      <c r="E21" s="14"/>
      <c r="F21" s="15">
        <f>('Empa peq'!E43+'Hot Dog'!E37)</f>
        <v>0</v>
      </c>
    </row>
    <row r="22" customFormat="1" spans="1:6">
      <c r="A22" s="16">
        <v>16</v>
      </c>
      <c r="B22" s="21" t="s">
        <v>69</v>
      </c>
      <c r="C22" s="18"/>
      <c r="D22" s="18"/>
      <c r="E22" s="18"/>
      <c r="F22" s="19">
        <f>('Empa peq'!E44+'Hot Dog'!E38)</f>
        <v>0</v>
      </c>
    </row>
    <row r="23" spans="1:6">
      <c r="A23" s="16">
        <v>17</v>
      </c>
      <c r="B23" s="20" t="s">
        <v>70</v>
      </c>
      <c r="C23" s="14"/>
      <c r="D23" s="14"/>
      <c r="E23" s="14"/>
      <c r="F23" s="15">
        <f>('Empa peq'!E45+'Hot Dog'!E39)</f>
        <v>0</v>
      </c>
    </row>
    <row r="24" spans="1:6">
      <c r="A24" s="16">
        <v>18</v>
      </c>
      <c r="B24" s="21" t="s">
        <v>71</v>
      </c>
      <c r="C24" s="18"/>
      <c r="D24" s="18"/>
      <c r="E24" s="18"/>
      <c r="F24" s="19">
        <f>('Empa peq'!E46+'Hot Dog'!E40)</f>
        <v>0</v>
      </c>
    </row>
    <row r="25" spans="1:6">
      <c r="A25" s="16">
        <v>19</v>
      </c>
      <c r="B25" s="20" t="s">
        <v>72</v>
      </c>
      <c r="C25" s="14"/>
      <c r="D25" s="14"/>
      <c r="E25" s="14"/>
      <c r="F25" s="15">
        <f>('Empa peq'!E47+'Hot Dog'!E41)</f>
        <v>0</v>
      </c>
    </row>
    <row r="26" spans="1:6">
      <c r="A26" s="16">
        <v>20</v>
      </c>
      <c r="B26" s="21" t="s">
        <v>73</v>
      </c>
      <c r="C26" s="18"/>
      <c r="D26" s="18"/>
      <c r="E26" s="18"/>
      <c r="F26" s="19">
        <f>('Empa peq'!E48+'Hot Dog'!E42)</f>
        <v>0</v>
      </c>
    </row>
    <row r="27" spans="1:6">
      <c r="A27" s="16">
        <v>21</v>
      </c>
      <c r="B27" s="20" t="s">
        <v>74</v>
      </c>
      <c r="C27" s="14"/>
      <c r="D27" s="14"/>
      <c r="E27" s="14"/>
      <c r="F27" s="15">
        <f>('Empa peq'!E49+'Hot Dog'!E43)</f>
        <v>0</v>
      </c>
    </row>
    <row r="28" spans="1:6">
      <c r="A28" s="16">
        <v>22</v>
      </c>
      <c r="B28" s="21" t="s">
        <v>75</v>
      </c>
      <c r="C28" s="18"/>
      <c r="D28" s="18"/>
      <c r="E28" s="18"/>
      <c r="F28" s="19">
        <f>('Empa peq'!E50+'Hot Dog'!E44)</f>
        <v>0</v>
      </c>
    </row>
    <row r="29" spans="1:6">
      <c r="A29" s="16">
        <v>23</v>
      </c>
      <c r="B29" s="20" t="s">
        <v>76</v>
      </c>
      <c r="C29" s="14"/>
      <c r="D29" s="14"/>
      <c r="E29" s="14"/>
      <c r="F29" s="15">
        <f>('Empa peq'!E51+'Hot Dog'!E45)</f>
        <v>0</v>
      </c>
    </row>
    <row r="30" spans="1:6">
      <c r="A30" s="16">
        <v>24</v>
      </c>
      <c r="B30" s="21" t="s">
        <v>77</v>
      </c>
      <c r="C30" s="18"/>
      <c r="D30" s="18"/>
      <c r="E30" s="18"/>
      <c r="F30" s="19">
        <f>('Empa peq'!E52+'Hot Dog'!E46)</f>
        <v>0</v>
      </c>
    </row>
    <row r="31" spans="1:6">
      <c r="A31" s="16">
        <v>25</v>
      </c>
      <c r="B31" s="20" t="s">
        <v>78</v>
      </c>
      <c r="C31" s="14"/>
      <c r="D31" s="14"/>
      <c r="E31" s="14"/>
      <c r="F31" s="15">
        <f>('Empa peq'!E53+'Hot Dog'!E47)</f>
        <v>0</v>
      </c>
    </row>
    <row r="32" spans="1:6">
      <c r="B32" s="21"/>
      <c r="C32" s="18">
        <v>0</v>
      </c>
      <c r="D32" s="18">
        <v>0</v>
      </c>
      <c r="E32" s="18"/>
      <c r="F32" s="19">
        <f>('Empa peq'!E54+'Hot Dog'!E48)</f>
        <v>0</v>
      </c>
    </row>
    <row r="33" spans="2:6">
      <c r="B33" s="20"/>
      <c r="C33" s="14">
        <v>0</v>
      </c>
      <c r="D33" s="14">
        <v>0</v>
      </c>
      <c r="E33" s="14"/>
      <c r="F33" s="15">
        <f>('Empa peq'!E55+'Hot Dog'!E49)</f>
        <v>0</v>
      </c>
    </row>
    <row r="34" spans="2:6">
      <c r="B34" s="21"/>
      <c r="C34" s="18">
        <v>0</v>
      </c>
      <c r="D34" s="18">
        <v>0</v>
      </c>
      <c r="E34" s="18"/>
      <c r="F34" s="19">
        <f>('Empa peq'!E56+'Hot Dog'!E50)</f>
        <v>0</v>
      </c>
    </row>
    <row r="35" spans="2:6">
      <c r="B35" s="20"/>
      <c r="C35" s="14">
        <v>0</v>
      </c>
      <c r="D35" s="14">
        <v>0</v>
      </c>
      <c r="E35" s="14"/>
      <c r="F35" s="15">
        <f>('Empa peq'!E57+'Hot Dog'!E51)</f>
        <v>0</v>
      </c>
    </row>
    <row r="36" spans="2:6">
      <c r="B36" s="21"/>
      <c r="C36" s="18">
        <v>0</v>
      </c>
      <c r="D36" s="18">
        <v>0</v>
      </c>
      <c r="E36" s="18"/>
      <c r="F36" s="19">
        <f>('Empa peq'!E58+'Hot Dog'!E52)</f>
        <v>0</v>
      </c>
    </row>
    <row r="37" spans="2:6">
      <c r="B37" s="20"/>
      <c r="C37" s="14">
        <v>0</v>
      </c>
      <c r="D37" s="14">
        <v>0</v>
      </c>
      <c r="E37" s="14"/>
      <c r="F37" s="15">
        <f>('Empa peq'!E59+'Hot Dog'!E53)</f>
        <v>0</v>
      </c>
    </row>
    <row r="38" spans="2:6">
      <c r="B38" s="21" t="s">
        <v>24</v>
      </c>
      <c r="C38" s="18">
        <v>0</v>
      </c>
      <c r="D38" s="18">
        <v>0</v>
      </c>
      <c r="E38" s="18"/>
      <c r="F38" s="19">
        <f>('Empa peq'!E60+'Hot Dog'!E54)</f>
        <v>0</v>
      </c>
    </row>
    <row r="39" spans="2:6">
      <c r="C39" s="23">
        <v>0</v>
      </c>
      <c r="D39">
        <v>0</v>
      </c>
    </row>
    <row r="40" spans="2:6">
      <c r="C40">
        <f>SUM(C6:C39)</f>
        <v>18</v>
      </c>
      <c r="D40">
        <f>SUM(D6:D39)</f>
        <v>0</v>
      </c>
      <c r="E40">
        <f>SUM(E6:E39)</f>
        <v>0</v>
      </c>
      <c r="F40" s="24">
        <f>SUM(F6:F39)</f>
        <v>91.5</v>
      </c>
    </row>
  </sheetData>
  <sheetProtection password="C794" sheet="1" objects="1" scenarios="1"/>
  <mergeCells count="2">
    <mergeCell ref="C4:C5"/>
    <mergeCell ref="E4:E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10"/>
  <sheetViews>
    <sheetView workbookViewId="0">
      <selection activeCell="D5" sqref="D5"/>
    </sheetView>
  </sheetViews>
  <sheetFormatPr defaultColWidth="11" defaultRowHeight="14.4" outlineLevelCol="4"/>
  <sheetData>
    <row r="3" spans="3:5">
      <c r="D3" s="1" t="s">
        <v>79</v>
      </c>
      <c r="E3" s="1" t="s">
        <v>80</v>
      </c>
    </row>
    <row r="4" spans="3:5">
      <c r="D4" s="2"/>
      <c r="E4" s="2"/>
    </row>
    <row r="5" spans="3:5">
      <c r="C5" s="3" t="s">
        <v>5</v>
      </c>
      <c r="D5" s="4">
        <f>'Hot Dog'!C6+'Empa peq'!C6+'Empa gran'!C6</f>
        <v>3.27272727272727</v>
      </c>
      <c r="E5" s="5">
        <f>D5*'Empa peq'!D6</f>
        <v>6.54545454545455</v>
      </c>
    </row>
    <row r="6" spans="3:5">
      <c r="C6" s="3" t="s">
        <v>6</v>
      </c>
      <c r="D6" s="4">
        <f>'Hot Dog'!C7+'Empa peq'!C7+'Empa gran'!C7</f>
        <v>1.30909090909091</v>
      </c>
      <c r="E6" s="5">
        <f>D6*'Empa peq'!D7</f>
        <v>8.11636363636364</v>
      </c>
    </row>
    <row r="7" spans="3:5">
      <c r="C7" s="3" t="s">
        <v>9</v>
      </c>
      <c r="D7" s="4">
        <f>'Hot Dog'!C9+'Empa peq'!C8+'Empa gran'!C8</f>
        <v>0.818181818181818</v>
      </c>
      <c r="E7" s="5">
        <f>D7*'Empa peq'!D8</f>
        <v>2.04545454545455</v>
      </c>
    </row>
    <row r="8" spans="3:5">
      <c r="C8" s="3" t="s">
        <v>32</v>
      </c>
      <c r="D8" s="4">
        <f>'Empa peq'!C10+'Empa gran'!C10</f>
        <v>2.94545454545455</v>
      </c>
      <c r="E8" s="5">
        <f>D8*'Empa peq'!D10</f>
        <v>4.41818181818182</v>
      </c>
    </row>
    <row r="9" spans="3:5">
      <c r="C9" s="3" t="s">
        <v>33</v>
      </c>
      <c r="D9" s="4">
        <f>'Empa peq'!C11+'Empa gran'!C11</f>
        <v>1.63636363636364</v>
      </c>
      <c r="E9" s="5">
        <f>D9*'Empa peq'!D11</f>
        <v>11.4545454545455</v>
      </c>
    </row>
    <row r="10" spans="3:5">
      <c r="E10" s="5">
        <f>SUM(E5:E9)</f>
        <v>32.58</v>
      </c>
    </row>
  </sheetData>
  <mergeCells count="2">
    <mergeCell ref="D3:D4"/>
    <mergeCell ref="E3:E4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4" master="" otherUserPermission="visible"/>
  <rangeList sheetStid="7" master="" otherUserPermission="visible"/>
  <rangeList sheetStid="5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Hot Dog</vt:lpstr>
      <vt:lpstr>Empa peq</vt:lpstr>
      <vt:lpstr>Empa gran</vt:lpstr>
      <vt:lpstr>Pedidos</vt:lpstr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Sergio Chunga Leonardo</dc:creator>
  <cp:lastModifiedBy>Cesar Chunga</cp:lastModifiedBy>
  <dcterms:created xsi:type="dcterms:W3CDTF">2010-09-28T05:34:00Z</dcterms:created>
  <dcterms:modified xsi:type="dcterms:W3CDTF">2026-10-09T04:47:51Z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8F0BCCC46360407E9BC2ED865DE13202_12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